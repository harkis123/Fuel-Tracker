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Daily Tracker" sheetId="2" state="visible" r:id="rId4"/>
    <sheet name="Weekly Oil Bulletin" sheetId="3" state="visible" r:id="rId5"/>
    <sheet name="Sources" sheetId="4" state="visible" r:id="rId6"/>
    <sheet name="Automation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<sst xmlns="http://schemas.openxmlformats.org/spreadsheetml/2006/main" count="194" uniqueCount="122">
  <si>
    <t xml:space="preserve">⛽  Fuel Price Tracker</t>
  </si>
  <si>
    <t xml:space="preserve">Wholesale &amp; Retail Diesel  ·  Daily &amp; Weekly Monitoring  ·  All prices EUR/litre incl. taxes</t>
  </si>
  <si>
    <t xml:space="preserve">  🇱🇹  ORLEN LT</t>
  </si>
  <si>
    <t xml:space="preserve">  🇵🇱  ORLEN PL → EUR</t>
  </si>
  <si>
    <t xml:space="preserve">  ⇄  Δ PL minus LT</t>
  </si>
  <si>
    <t xml:space="preserve">  🇩🇪  ELVIS FSC DE</t>
  </si>
  <si>
    <t xml:space="preserve">EUR / litre</t>
  </si>
  <si>
    <t xml:space="preserve">Spread EUR/l</t>
  </si>
  <si>
    <t xml:space="preserve">📊  EU WEEKLY OIL BULLETIN — LATEST DIESEL PRICES WITH TAXES</t>
  </si>
  <si>
    <t xml:space="preserve">🇱🇹 Lithuania</t>
  </si>
  <si>
    <t xml:space="preserve">🇱🇻 Latvia</t>
  </si>
  <si>
    <t xml:space="preserve">🇪🇪 Estonia</t>
  </si>
  <si>
    <t xml:space="preserve">🇩🇰 Denmark</t>
  </si>
  <si>
    <t xml:space="preserve">🇸🇪 Sweden</t>
  </si>
  <si>
    <t xml:space="preserve">🇫🇮 Finland</t>
  </si>
  <si>
    <t xml:space="preserve">🇪🇺 EU Average</t>
  </si>
  <si>
    <t xml:space="preserve">EUR/l</t>
  </si>
  <si>
    <t xml:space="preserve">COUNTRY COMPARISON CHART</t>
  </si>
  <si>
    <t xml:space="preserve">LT</t>
  </si>
  <si>
    <t xml:space="preserve">LV</t>
  </si>
  <si>
    <t xml:space="preserve">EE</t>
  </si>
  <si>
    <t xml:space="preserve">DK</t>
  </si>
  <si>
    <t xml:space="preserve">SE</t>
  </si>
  <si>
    <t xml:space="preserve">FI</t>
  </si>
  <si>
    <t xml:space="preserve">EU Avg</t>
  </si>
  <si>
    <t xml:space="preserve">📋  HOW TO USE</t>
  </si>
  <si>
    <t xml:space="preserve">1.</t>
  </si>
  <si>
    <t xml:space="preserve">Daily Tracker</t>
  </si>
  <si>
    <t xml:space="preserve">Enter prices in BLUE cells. Row 5 = newest. Formulas auto-convert PLN→EUR, SEK→EUR, and calculate PL vs LT delta.</t>
  </si>
  <si>
    <t xml:space="preserve">2.</t>
  </si>
  <si>
    <t xml:space="preserve">Weekly Oil Bulletin</t>
  </si>
  <si>
    <t xml:space="preserve">Every Monday, enter diesel prices from energy.ec.europa.eu → Prices with taxes → LT/LV/EE/DK/SE/FI + EU avg.</t>
  </si>
  <si>
    <t xml:space="preserve">3.</t>
  </si>
  <si>
    <t xml:space="preserve">Dashboard</t>
  </si>
  <si>
    <t xml:space="preserve">Updates automatically from both sheets. KPI cards pull the newest Daily row; EU section pulls the newest Weekly row.</t>
  </si>
  <si>
    <t xml:space="preserve">4.</t>
  </si>
  <si>
    <t xml:space="preserve">SharePoint</t>
  </si>
  <si>
    <t xml:space="preserve">Edit directly in browser — click 'Edit in Browser'. No download needed. All formatting preserved in Excel Online.</t>
  </si>
  <si>
    <t xml:space="preserve">⛽  Daily Fuel Prices</t>
  </si>
  <si>
    <t xml:space="preserve">🔵 Blue cells = manual input   ·   Formulas auto-calculate conversions and deltas   ·   Row 5 = most recent</t>
  </si>
  <si>
    <t xml:space="preserve">ORLEN PL — EKODIESEL</t>
  </si>
  <si>
    <t xml:space="preserve">ORLEN LT</t>
  </si>
  <si>
    <t xml:space="preserve">Δ PL vs LT</t>
  </si>
  <si>
    <t xml:space="preserve">ELVIS DE</t>
  </si>
  <si>
    <t xml:space="preserve">BSH / ST1 SE</t>
  </si>
  <si>
    <t xml:space="preserve">Date</t>
  </si>
  <si>
    <t xml:space="preserve">Day</t>
  </si>
  <si>
    <t xml:space="preserve">PLN/m³</t>
  </si>
  <si>
    <t xml:space="preserve">PLN/EUR</t>
  </si>
  <si>
    <t xml:space="preserve">Δ EUR/l</t>
  </si>
  <si>
    <t xml:space="preserve">Δ %</t>
  </si>
  <si>
    <t xml:space="preserve">SEK/l</t>
  </si>
  <si>
    <t xml:space="preserve">SEK/EUR</t>
  </si>
  <si>
    <t xml:space="preserve">Notes</t>
  </si>
  <si>
    <t xml:space="preserve">Freq</t>
  </si>
  <si>
    <t xml:space="preserve">Fri</t>
  </si>
  <si>
    <t xml:space="preserve">Thu</t>
  </si>
  <si>
    <t xml:space="preserve">Wed</t>
  </si>
  <si>
    <t xml:space="preserve">Tue</t>
  </si>
  <si>
    <t xml:space="preserve">Mon</t>
  </si>
  <si>
    <t xml:space="preserve">Sun</t>
  </si>
  <si>
    <t xml:space="preserve">Sat</t>
  </si>
  <si>
    <t xml:space="preserve">📊  EU Weekly Oil Bulletin — Diesel Prices with Taxes</t>
  </si>
  <si>
    <t xml:space="preserve">Source: energy.ec.europa.eu   ·   Updated weekly (Monday)   ·   🔵 Blue cells = input   ·   Row 4 = most recent</t>
  </si>
  <si>
    <t xml:space="preserve">Week Start</t>
  </si>
  <si>
    <t xml:space="preserve">🇱🇹 LT</t>
  </si>
  <si>
    <t xml:space="preserve">🇱🇻 LV</t>
  </si>
  <si>
    <t xml:space="preserve">🇪🇪 EE</t>
  </si>
  <si>
    <t xml:space="preserve">🇩🇰 DK</t>
  </si>
  <si>
    <t xml:space="preserve">🇸🇪 SE</t>
  </si>
  <si>
    <t xml:space="preserve">🇫🇮 FI</t>
  </si>
  <si>
    <t xml:space="preserve">🇪🇺 EU Avg</t>
  </si>
  <si>
    <t xml:space="preserve">LT vs EU Δ</t>
  </si>
  <si>
    <t xml:space="preserve">📋  Data Sources &amp; Instructions</t>
  </si>
  <si>
    <t xml:space="preserve">Source</t>
  </si>
  <si>
    <t xml:space="preserve">URL</t>
  </si>
  <si>
    <t xml:space="preserve">Frequency</t>
  </si>
  <si>
    <t xml:space="preserve">Instructions</t>
  </si>
  <si>
    <t xml:space="preserve">Orlen PL — Ekodiesel</t>
  </si>
  <si>
    <t xml:space="preserve">https://www.orlen.pl/pl/dla-biznesu/hurtowe-ceny-paliw#paliwa-archive</t>
  </si>
  <si>
    <t xml:space="preserve">Daily</t>
  </si>
  <si>
    <t xml:space="preserve">Hurtowe ceny → Archiwum → Ekodiesel → PLN/m³. Enter in Daily Tracker col C. PLN/EUR from ECB.</t>
  </si>
  <si>
    <t xml:space="preserve">Orlen LT — Dyzelinas E</t>
  </si>
  <si>
    <t xml:space="preserve">https://www.orlenlietuva.lt/LT/Wholesale/Puslapiai/Kainu-protokolai.aspx</t>
  </si>
  <si>
    <t xml:space="preserve">Kainų protokolai → Juodeikių terminalas → Dyzelinas E kl. su RRME → kaina su akcizu ir PVM → col F.</t>
  </si>
  <si>
    <t xml:space="preserve">EU Weekly Oil Bulletin</t>
  </si>
  <si>
    <t xml:space="preserve">https://energy.ec.europa.eu/data-and-analysis/weekly-oil-bulletin_en</t>
  </si>
  <si>
    <t xml:space="preserve">Weekly</t>
  </si>
  <si>
    <t xml:space="preserve">Download 'Prices with taxes' → diesel → LT/LV/EE/DK/SE/FI + EU avg → Weekly Oil Bulletin sheet.</t>
  </si>
  <si>
    <t xml:space="preserve">Elvis FSC (DE)</t>
  </si>
  <si>
    <t xml:space="preserve">https://www.mehr-tanken.de/aktuelle-spritpreise/</t>
  </si>
  <si>
    <t xml:space="preserve">Aktuelle Spritpreise → Diesel → EUR/l → Daily Tracker col I. No conversion needed.</t>
  </si>
  <si>
    <t xml:space="preserve">BSH / ST1 (SE)</t>
  </si>
  <si>
    <t xml:space="preserve">https://st1.se/foretag/listpris</t>
  </si>
  <si>
    <t xml:space="preserve">Företag → Listpris → Diesel SEK/l → col J. SEK/EUR in col K. EUR auto-calc col L.</t>
  </si>
  <si>
    <t xml:space="preserve">FX Rates (ECB)</t>
  </si>
  <si>
    <t xml:space="preserve">https://www.ecb.europa.eu/stats/exchange/eurofxref/</t>
  </si>
  <si>
    <t xml:space="preserve">PLN/EUR → col D. SEK/EUR → col K. API alternative: frankfurter.app (free, no auth).</t>
  </si>
  <si>
    <t xml:space="preserve">🤖  Automation Strategy</t>
  </si>
  <si>
    <t xml:space="preserve">Approach</t>
  </si>
  <si>
    <t xml:space="preserve">Description</t>
  </si>
  <si>
    <t xml:space="preserve">Complexity</t>
  </si>
  <si>
    <t xml:space="preserve">Power Automate (Cloud)</t>
  </si>
  <si>
    <t xml:space="preserve">Scheduled flow → HTTP connector → parse response → write to SharePoint list or Excel via Graph API. Best for stable HTML/CSV sources (EU Oil Bulletin).</t>
  </si>
  <si>
    <t xml:space="preserve">Medium</t>
  </si>
  <si>
    <t xml:space="preserve">Power Automate Desktop</t>
  </si>
  <si>
    <t xml:space="preserve">Browser RPA for sites blocking HTTP scraping (Orlen PL, ST1). Records browser actions → extracts data → writes to Excel/SharePoint.</t>
  </si>
  <si>
    <t xml:space="preserve">Medium-High</t>
  </si>
  <si>
    <t xml:space="preserve">EU Oil Bulletin (CSV)</t>
  </si>
  <si>
    <t xml:space="preserve">Direct XLS/CSV download available. Power Automate HTTP trigger Monday → download → parse → update Weekly sheet.</t>
  </si>
  <si>
    <t xml:space="preserve">Low ✅</t>
  </si>
  <si>
    <t xml:space="preserve">FX Rates (ECB API)</t>
  </si>
  <si>
    <t xml:space="preserve">frankfurter.app — free, no auth. Daily GET request returns PLN/EUR, SEK/EUR as JSON.</t>
  </si>
  <si>
    <t xml:space="preserve">Manual PDF → Extract</t>
  </si>
  <si>
    <t xml:space="preserve">For PDF-only sources (Orlen LT kainų protokolai): download → AI Builder extracts table → writes to tracker.</t>
  </si>
  <si>
    <t xml:space="preserve">Low-Medium</t>
  </si>
  <si>
    <t xml:space="preserve">SharePoint List Backend</t>
  </si>
  <si>
    <t xml:space="preserve">Store data in SP List columns instead of Excel. PA writes rows. Better for multi-user concurrent editing.</t>
  </si>
  <si>
    <t xml:space="preserve">Python + Azure Function</t>
  </si>
  <si>
    <t xml:space="preserve">Most flexible: Python script with requests/selenium → parse → push via Graph API. Timer triggered.</t>
  </si>
  <si>
    <t xml:space="preserve">High</t>
  </si>
  <si>
    <t xml:space="preserve">💡  START HERE: EU Oil Bulletin (CSV) + FX Rates API = low effort, high value. Automates weekly EU data + daily exchange rates.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</si>
</sst>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00"/>
    <numFmt numFmtId="166" formatCode="yyyy\-mm\-dd"/>
    <numFmt numFmtId="167" formatCode="#,##0.00"/>
    <numFmt numFmtId="168" formatCode="0.0000"/>
    <numFmt numFmtId="169" formatCode="\+0.000;\-0.000;\-"/>
    <numFmt numFmtId="170" formatCode="\+0.0%;\-0.0%;\-"/>
    <numFmt numFmtId="171" formatCode="0.00"/>
  </numFmts>
  <fonts count="3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E3A5F"/>
      <name val="Aptos"/>
      <family val="0"/>
      <charset val="1"/>
    </font>
    <font>
      <sz val="9"/>
      <color rgb="FF9CA3AF"/>
      <name val="Aptos"/>
      <family val="0"/>
      <charset val="1"/>
    </font>
    <font>
      <b val="true"/>
      <sz val="9"/>
      <color rgb="FF0E7490"/>
      <name val="Aptos"/>
      <family val="0"/>
      <charset val="1"/>
    </font>
    <font>
      <b val="true"/>
      <sz val="9"/>
      <color rgb="FFC2410C"/>
      <name val="Aptos"/>
      <family val="0"/>
      <charset val="1"/>
    </font>
    <font>
      <b val="true"/>
      <sz val="9"/>
      <color rgb="FFB45309"/>
      <name val="Aptos"/>
      <family val="0"/>
      <charset val="1"/>
    </font>
    <font>
      <b val="true"/>
      <sz val="9"/>
      <color rgb="FF7C3AED"/>
      <name val="Aptos"/>
      <family val="0"/>
      <charset val="1"/>
    </font>
    <font>
      <b val="true"/>
      <sz val="26"/>
      <color rgb="FF0E7490"/>
      <name val="Aptos"/>
      <family val="0"/>
      <charset val="1"/>
    </font>
    <font>
      <b val="true"/>
      <sz val="26"/>
      <color rgb="FFC2410C"/>
      <name val="Aptos"/>
      <family val="0"/>
      <charset val="1"/>
    </font>
    <font>
      <b val="true"/>
      <sz val="26"/>
      <color rgb="FFB45309"/>
      <name val="Aptos"/>
      <family val="0"/>
      <charset val="1"/>
    </font>
    <font>
      <b val="true"/>
      <sz val="26"/>
      <color rgb="FF7C3AED"/>
      <name val="Aptos"/>
      <family val="0"/>
      <charset val="1"/>
    </font>
    <font>
      <sz val="8"/>
      <color rgb="FF9CA3AF"/>
      <name val="Aptos"/>
      <family val="0"/>
      <charset val="1"/>
    </font>
    <font>
      <b val="true"/>
      <sz val="10"/>
      <color rgb="FF0F766E"/>
      <name val="Aptos"/>
      <family val="0"/>
      <charset val="1"/>
    </font>
    <font>
      <b val="true"/>
      <sz val="10"/>
      <color rgb="FFB45309"/>
      <name val="Aptos"/>
      <family val="0"/>
      <charset val="1"/>
    </font>
    <font>
      <b val="true"/>
      <sz val="11"/>
      <color rgb="FF1E3A5F"/>
      <name val="Aptos"/>
      <family val="0"/>
      <charset val="1"/>
    </font>
    <font>
      <b val="true"/>
      <sz val="9"/>
      <color rgb="FF6B7280"/>
      <name val="Aptos"/>
      <family val="0"/>
      <charset val="1"/>
    </font>
    <font>
      <b val="true"/>
      <sz val="18"/>
      <color rgb="FF1F2937"/>
      <name val="Aptos"/>
      <family val="0"/>
      <charset val="1"/>
    </font>
    <font>
      <b val="true"/>
      <sz val="10"/>
      <color rgb="FF1E3A5F"/>
      <name val="Aptos"/>
      <family val="0"/>
      <charset val="1"/>
    </font>
    <font>
      <sz val="8"/>
      <color rgb="FF1F2937"/>
      <name val="Aptos"/>
      <family val="0"/>
      <charset val="1"/>
    </font>
    <font>
      <b val="true"/>
      <sz val="9"/>
      <color rgb="FF3B82F6"/>
      <name val="Aptos"/>
      <family val="0"/>
      <charset val="1"/>
    </font>
    <font>
      <b val="true"/>
      <sz val="9"/>
      <color rgb="FF1F2937"/>
      <name val="Aptos"/>
      <family val="0"/>
      <charset val="1"/>
    </font>
    <font>
      <sz val="9"/>
      <color rgb="FF6B7280"/>
      <name val="Aptos"/>
      <family val="0"/>
      <charset val="1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6"/>
      <color rgb="FF1E3A5F"/>
      <name val="Aptos"/>
      <family val="0"/>
      <charset val="1"/>
    </font>
    <font>
      <b val="true"/>
      <sz val="8"/>
      <color rgb="FFFFFFFF"/>
      <name val="Aptos"/>
      <family val="0"/>
      <charset val="1"/>
    </font>
    <font>
      <b val="true"/>
      <sz val="10"/>
      <color rgb="FF1F2937"/>
      <name val="Aptos"/>
      <family val="0"/>
      <charset val="1"/>
    </font>
    <font>
      <sz val="10"/>
      <color rgb="FF1D4ED8"/>
      <name val="Aptos"/>
      <family val="0"/>
      <charset val="1"/>
    </font>
    <font>
      <sz val="10"/>
      <color rgb="FF1F2937"/>
      <name val="Aptos"/>
      <family val="0"/>
      <charset val="1"/>
    </font>
    <font>
      <sz val="9"/>
      <color rgb="FF1D4ED8"/>
      <name val="Aptos"/>
      <family val="0"/>
      <charset val="1"/>
    </font>
    <font>
      <b val="true"/>
      <sz val="9"/>
      <color rgb="FF15803D"/>
      <name val="Aptos"/>
      <family val="0"/>
      <charset val="1"/>
    </font>
    <font>
      <b val="true"/>
      <sz val="9"/>
      <color rgb="FF0F766E"/>
      <name val="Aptos"/>
      <family val="0"/>
      <charset val="1"/>
    </font>
    <font>
      <b val="true"/>
      <sz val="9"/>
      <color rgb="FFB91C1C"/>
      <name val="Aptos"/>
      <family val="0"/>
      <charset val="1"/>
    </font>
    <font>
      <b val="true"/>
      <sz val="10"/>
      <color rgb="FF15803D"/>
      <name val="Aptos"/>
      <family val="0"/>
      <charset val="1"/>
    </font>
  </fonts>
  <fills count="19">
    <fill>
      <patternFill patternType="none"/>
    </fill>
    <fill>
      <patternFill patternType="gray125"/>
    </fill>
    <fill>
      <patternFill patternType="solid">
        <fgColor rgb="FFFFFFFF"/>
        <bgColor rgb="FFFAFBFC"/>
      </patternFill>
    </fill>
    <fill>
      <patternFill patternType="solid">
        <fgColor rgb="FFECFEFF"/>
        <bgColor rgb="FFF0FDFA"/>
      </patternFill>
    </fill>
    <fill>
      <patternFill patternType="solid">
        <fgColor rgb="FFFFF7ED"/>
        <bgColor rgb="FFFFFBEB"/>
      </patternFill>
    </fill>
    <fill>
      <patternFill patternType="solid">
        <fgColor rgb="FFFFFBEB"/>
        <bgColor rgb="FFFFF7ED"/>
      </patternFill>
    </fill>
    <fill>
      <patternFill patternType="solid">
        <fgColor rgb="FFFAF5FF"/>
        <bgColor rgb="FFFAFBFC"/>
      </patternFill>
    </fill>
    <fill>
      <patternFill patternType="solid">
        <fgColor rgb="FFF0FDFA"/>
        <bgColor rgb="FFECFEFF"/>
      </patternFill>
    </fill>
    <fill>
      <patternFill patternType="solid">
        <fgColor rgb="FFF1F3F5"/>
        <bgColor rgb="FFEFF6FF"/>
      </patternFill>
    </fill>
    <fill>
      <patternFill patternType="solid">
        <fgColor rgb="FFDBEAFE"/>
        <bgColor rgb="FFF1F3F5"/>
      </patternFill>
    </fill>
    <fill>
      <patternFill patternType="solid">
        <fgColor rgb="FFFAFBFC"/>
        <bgColor rgb="FFFFFFFF"/>
      </patternFill>
    </fill>
    <fill>
      <patternFill patternType="solid">
        <fgColor rgb="FF1E3A5F"/>
        <bgColor rgb="FF1F2937"/>
      </patternFill>
    </fill>
    <fill>
      <patternFill patternType="solid">
        <fgColor rgb="FFF97316"/>
        <bgColor rgb="FFF59E0B"/>
      </patternFill>
    </fill>
    <fill>
      <patternFill patternType="solid">
        <fgColor rgb="FF0E7490"/>
        <bgColor rgb="FF0F766E"/>
      </patternFill>
    </fill>
    <fill>
      <patternFill patternType="solid">
        <fgColor rgb="FFB45309"/>
        <bgColor rgb="FFC2410C"/>
      </patternFill>
    </fill>
    <fill>
      <patternFill patternType="solid">
        <fgColor rgb="FF7C3AED"/>
        <bgColor rgb="FFA855F7"/>
      </patternFill>
    </fill>
    <fill>
      <patternFill patternType="solid">
        <fgColor rgb="FF0F766E"/>
        <bgColor rgb="FF0E7490"/>
      </patternFill>
    </fill>
    <fill>
      <patternFill patternType="solid">
        <fgColor rgb="FFEFF6FF"/>
        <bgColor rgb="FFF1F3F5"/>
      </patternFill>
    </fill>
    <fill>
      <patternFill patternType="solid">
        <fgColor rgb="FFDCFCE7"/>
        <bgColor rgb="FFECFEFF"/>
      </patternFill>
    </fill>
  </fills>
  <borders count="20">
    <border diagonalUp="false" diagonalDown="false">
      <left/>
      <right/>
      <top/>
      <bottom/>
      <diagonal/>
    </border>
    <border diagonalUp="false" diagonalDown="false">
      <left/>
      <right/>
      <top style="medium">
        <color rgb="FF3B82F6"/>
      </top>
      <bottom/>
      <diagonal/>
    </border>
    <border diagonalUp="false" diagonalDown="false">
      <left/>
      <right/>
      <top style="thick">
        <color rgb="FF06B6D4"/>
      </top>
      <bottom/>
      <diagonal/>
    </border>
    <border diagonalUp="false" diagonalDown="false">
      <left/>
      <right/>
      <top style="thick">
        <color rgb="FFF97316"/>
      </top>
      <bottom/>
      <diagonal/>
    </border>
    <border diagonalUp="false" diagonalDown="false">
      <left/>
      <right/>
      <top style="thick">
        <color rgb="FFF59E0B"/>
      </top>
      <bottom/>
      <diagonal/>
    </border>
    <border diagonalUp="false" diagonalDown="false">
      <left/>
      <right/>
      <top style="thick">
        <color rgb="FFA855F7"/>
      </top>
      <bottom/>
      <diagonal/>
    </border>
    <border diagonalUp="false" diagonalDown="false">
      <left/>
      <right/>
      <top style="medium">
        <color rgb="FF14B8A6"/>
      </top>
      <bottom/>
      <diagonal/>
    </border>
    <border diagonalUp="false" diagonalDown="false">
      <left/>
      <right/>
      <top style="medium">
        <color rgb="FFF59E0B"/>
      </top>
      <bottom/>
      <diagonal/>
    </border>
    <border diagonalUp="false" diagonalDown="false">
      <left/>
      <right/>
      <top style="thick">
        <color rgb="FF3B82F6"/>
      </top>
      <bottom/>
      <diagonal/>
    </border>
    <border diagonalUp="false" diagonalDown="false">
      <left/>
      <right/>
      <top/>
      <bottom style="medium">
        <color rgb="FFF97316"/>
      </bottom>
      <diagonal/>
    </border>
    <border diagonalUp="false" diagonalDown="false">
      <left/>
      <right/>
      <top/>
      <bottom style="medium">
        <color rgb="FF06B6D4"/>
      </bottom>
      <diagonal/>
    </border>
    <border diagonalUp="false" diagonalDown="false">
      <left/>
      <right/>
      <top/>
      <bottom style="medium">
        <color rgb="FFA855F7"/>
      </bottom>
      <diagonal/>
    </border>
    <border diagonalUp="false" diagonalDown="false">
      <left/>
      <right/>
      <top/>
      <bottom style="medium">
        <color rgb="FF14B8A6"/>
      </bottom>
      <diagonal/>
    </border>
    <border diagonalUp="false" diagonalDown="false">
      <left/>
      <right/>
      <top/>
      <bottom style="medium">
        <color rgb="FFF59E0B"/>
      </bottom>
      <diagonal/>
    </border>
    <border diagonalUp="false" diagonalDown="false">
      <left/>
      <right/>
      <top/>
      <bottom style="medium">
        <color rgb="FF22C55E"/>
      </bottom>
      <diagonal/>
    </border>
    <border diagonalUp="false" diagonalDown="false">
      <left/>
      <right/>
      <top/>
      <bottom style="medium">
        <color rgb="FF3B82F6"/>
      </bottom>
      <diagonal/>
    </border>
    <border diagonalUp="false" diagonalDown="false">
      <left/>
      <right/>
      <top/>
      <bottom style="medium">
        <color rgb="FF1E3A5F"/>
      </bottom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 diagonalUp="false" diagonalDown="false">
      <left/>
      <right/>
      <top/>
      <bottom style="medium">
        <color rgb="FFB45309"/>
      </bottom>
      <diagonal/>
    </border>
    <border diagonalUp="false" diagonalDown="false">
      <left/>
      <right/>
      <top/>
      <bottom style="medium">
        <color rgb="FF7C3AE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7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9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9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9" fillId="2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9" fillId="2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9" fillId="2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9" fillId="2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9" fillId="2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9" fillId="2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9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3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7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8" fillId="11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1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1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8" fillId="1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1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8" fillId="1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8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9" fillId="10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10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0" fillId="17" borderId="1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30" fillId="17" borderId="1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31" fillId="10" borderId="1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30" fillId="17" borderId="1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31" fillId="10" borderId="1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31" fillId="10" borderId="1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30" fillId="17" borderId="1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4" fillId="10" borderId="1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10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9" fillId="2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2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1" fillId="2" borderId="1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31" fillId="2" borderId="1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31" fillId="2" borderId="1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4" fillId="2" borderId="1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2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9" fillId="8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8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1" fillId="8" borderId="1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31" fillId="8" borderId="1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31" fillId="8" borderId="1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4" fillId="8" borderId="1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8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8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10" borderId="1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2" fillId="10" borderId="1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10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10" borderId="1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2" borderId="1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2" fillId="2" borderId="1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2" borderId="1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10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8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10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2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10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10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18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b val="1"/>
        <color rgb="FF15803D"/>
      </font>
      <fill>
        <patternFill>
          <bgColor rgb="FFDCFCE7"/>
        </patternFill>
      </fill>
    </dxf>
    <dxf>
      <font>
        <b val="1"/>
        <color rgb="FFB91C1C"/>
      </font>
      <fill>
        <patternFill>
          <bgColor rgb="FFFEE2E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0FDFA"/>
      <rgbColor rgb="FFFF00FF"/>
      <rgbColor rgb="FF00FFFF"/>
      <rgbColor rgb="FF800000"/>
      <rgbColor rgb="FF15803D"/>
      <rgbColor rgb="FF000080"/>
      <rgbColor rgb="FF808000"/>
      <rgbColor rgb="FF800080"/>
      <rgbColor rgb="FF0F766E"/>
      <rgbColor rgb="FFD9D9D9"/>
      <rgbColor rgb="FF878787"/>
      <rgbColor rgb="FF4F81BD"/>
      <rgbColor rgb="FFB91C1C"/>
      <rgbColor rgb="FFFFFBEB"/>
      <rgbColor rgb="FFDCFCE7"/>
      <rgbColor rgb="FF660066"/>
      <rgbColor rgb="FFFF8080"/>
      <rgbColor rgb="FF1D4ED8"/>
      <rgbColor rgb="FFD1D5DB"/>
      <rgbColor rgb="FF000080"/>
      <rgbColor rgb="FFFF00FF"/>
      <rgbColor rgb="FFFAFBFC"/>
      <rgbColor rgb="FF00FFFF"/>
      <rgbColor rgb="FF800080"/>
      <rgbColor rgb="FF800000"/>
      <rgbColor rgb="FF0E7490"/>
      <rgbColor rgb="FF0000FF"/>
      <rgbColor rgb="FF06B6D4"/>
      <rgbColor rgb="FFECFEFF"/>
      <rgbColor rgb="FFDBEAFE"/>
      <rgbColor rgb="FFFFF7ED"/>
      <rgbColor rgb="FFF1F3F5"/>
      <rgbColor rgb="FFFAF5FF"/>
      <rgbColor rgb="FFA855F7"/>
      <rgbColor rgb="FFFEE2E2"/>
      <rgbColor rgb="FF3B82F6"/>
      <rgbColor rgb="FF14B8A6"/>
      <rgbColor rgb="FF99CC00"/>
      <rgbColor rgb="FFEFF6FF"/>
      <rgbColor rgb="FFF59E0B"/>
      <rgbColor rgb="FFF97316"/>
      <rgbColor rgb="FF6B7280"/>
      <rgbColor rgb="FF9CA3AF"/>
      <rgbColor rgb="FF1E3A5F"/>
      <rgbColor rgb="FF22C55E"/>
      <rgbColor rgb="FF003300"/>
      <rgbColor rgb="FF333300"/>
      <rgbColor rgb="FFC2410C"/>
      <rgbColor rgb="FFB45309"/>
      <rgbColor rgb="FF7C3AED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f97316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06b6d4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a855f7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14b8a6"/>
              </a:solidFill>
              <a:ln w="0">
                <a:noFill/>
              </a:ln>
            </c:spPr>
          </c:dPt>
          <c:dPt>
            <c:idx val="4"/>
            <c:invertIfNegative val="0"/>
            <c:spPr>
              <a:solidFill>
                <a:srgbClr val="f59e0b"/>
              </a:solidFill>
              <a:ln w="0">
                <a:noFill/>
              </a:ln>
            </c:spPr>
          </c:dPt>
          <c:dPt>
            <c:idx val="5"/>
            <c:invertIfNegative val="0"/>
            <c:spPr>
              <a:solidFill>
                <a:srgbClr val="22c55e"/>
              </a:solidFill>
              <a:ln w="0">
                <a:noFill/>
              </a:ln>
            </c:spPr>
          </c:dPt>
          <c:dPt>
            <c:idx val="6"/>
            <c:invertIfNegative val="0"/>
            <c:spPr>
              <a:solidFill>
                <a:srgbClr val="3b82f6"/>
              </a:solidFill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Dashboard!$C$40:$I$40</c:f>
              <c:strCache>
                <c:ptCount val="7"/>
                <c:pt idx="0">
                  <c:v>2.</c:v>
                </c:pt>
                <c:pt idx="1">
                  <c:v>Weekly Oil Bulletin</c:v>
                </c:pt>
                <c:pt idx="2">
                  <c:v/>
                </c:pt>
                <c:pt idx="3">
                  <c:v>Every Monday, enter diesel prices from energy.ec.europa.eu → Prices with taxes → LT/LV/EE/DK/SE/FI + EU avg.</c:v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</c:strCache>
            </c:strRef>
          </c:cat>
          <c:val>
            <c:numRef>
              <c:f>Dashboard!$C$41:$I$41</c:f>
              <c:numCache>
                <c:formatCode>General</c:formatCode>
                <c:ptCount val="7"/>
              </c:numCache>
            </c:numRef>
          </c:val>
        </c:ser>
        <c:gapWidth val="150"/>
        <c:overlap val="0"/>
        <c:axId val="31350935"/>
        <c:axId val="88387361"/>
      </c:barChart>
      <c:catAx>
        <c:axId val="31350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387361"/>
        <c:crosses val="autoZero"/>
        <c:auto val="1"/>
        <c:lblAlgn val="ctr"/>
        <c:lblOffset val="100"/>
        <c:noMultiLvlLbl val="0"/>
      </c:catAx>
      <c:valAx>
        <c:axId val="88387361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EUR / litre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35093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21</xdr:row>
      <xdr:rowOff>0</xdr:rowOff>
    </xdr:from>
    <xdr:to>
      <xdr:col>14</xdr:col>
      <xdr:colOff>141120</xdr:colOff>
      <xdr:row>41</xdr:row>
      <xdr:rowOff>137880</xdr:rowOff>
    </xdr:to>
    <xdr:graphicFrame>
      <xdr:nvGraphicFramePr>
        <xdr:cNvPr id="0" name="Chart 1"/>
        <xdr:cNvGraphicFramePr/>
      </xdr:nvGraphicFramePr>
      <xdr:xfrm>
        <a:off x="281880" y="4952880"/>
        <a:ext cx="10079640" cy="43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B82F6"/>
    <pageSetUpPr fitToPage="false"/>
  </sheetPr>
  <dimension ref="A1:R54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"/>
    <col collapsed="false" customWidth="true" hidden="false" outlineLevel="0" max="3" min="3" style="0" width="18"/>
    <col collapsed="false" customWidth="true" hidden="false" outlineLevel="0" max="4" min="4" style="0" width="15"/>
    <col collapsed="false" customWidth="true" hidden="false" outlineLevel="0" max="5" min="5" style="0" width="12"/>
    <col collapsed="false" customWidth="true" hidden="false" outlineLevel="0" max="6" min="6" style="0" width="2"/>
    <col collapsed="false" customWidth="true" hidden="false" outlineLevel="0" max="7" min="7" style="0" width="18"/>
    <col collapsed="false" customWidth="true" hidden="false" outlineLevel="0" max="8" min="8" style="0" width="15"/>
    <col collapsed="false" customWidth="true" hidden="false" outlineLevel="0" max="9" min="9" style="0" width="12"/>
    <col collapsed="false" customWidth="true" hidden="false" outlineLevel="0" max="10" min="10" style="0" width="2"/>
    <col collapsed="false" customWidth="true" hidden="false" outlineLevel="0" max="11" min="11" style="0" width="18"/>
    <col collapsed="false" customWidth="true" hidden="false" outlineLevel="0" max="12" min="12" style="0" width="15"/>
    <col collapsed="false" customWidth="true" hidden="false" outlineLevel="0" max="13" min="13" style="0" width="12"/>
    <col collapsed="false" customWidth="true" hidden="false" outlineLevel="0" max="14" min="14" style="0" width="2"/>
    <col collapsed="false" customWidth="true" hidden="false" outlineLevel="0" max="15" min="15" style="0" width="18"/>
    <col collapsed="false" customWidth="true" hidden="false" outlineLevel="0" max="16" min="16" style="0" width="15"/>
    <col collapsed="false" customWidth="true" hidden="false" outlineLevel="0" max="17" min="17" style="0" width="12"/>
    <col collapsed="false" customWidth="true" hidden="false" outlineLevel="0" max="18" min="18" style="0" width="2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customFormat="false" ht="12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customFormat="false" ht="42" hidden="false" customHeight="true" outlineLevel="0" collapsed="false">
      <c r="A3" s="1"/>
      <c r="B3" s="1"/>
      <c r="C3" s="2" t="s">
        <v>0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1"/>
    </row>
    <row r="4" customFormat="false" ht="18" hidden="false" customHeight="true" outlineLevel="0" collapsed="false">
      <c r="A4" s="1"/>
      <c r="B4" s="1"/>
      <c r="C4" s="3" t="s">
        <v>1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1"/>
    </row>
    <row r="5" customFormat="false" ht="6" hidden="false" customHeight="true" outlineLevel="0" collapsed="false">
      <c r="A5" s="1"/>
      <c r="B5" s="1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1"/>
    </row>
    <row r="6" customFormat="false" ht="6" hidden="false" customHeight="true" outlineLevel="0" collapsed="false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customFormat="false" ht="6" hidden="false" customHeight="true" outlineLevel="0" collapsed="false">
      <c r="A7" s="1"/>
      <c r="B7" s="1"/>
      <c r="C7" s="5"/>
      <c r="D7" s="5"/>
      <c r="E7" s="5"/>
      <c r="F7" s="1"/>
      <c r="G7" s="6"/>
      <c r="H7" s="6"/>
      <c r="I7" s="6"/>
      <c r="J7" s="1"/>
      <c r="K7" s="7"/>
      <c r="L7" s="7"/>
      <c r="M7" s="7"/>
      <c r="N7" s="1"/>
      <c r="O7" s="8"/>
      <c r="P7" s="8"/>
      <c r="Q7" s="8"/>
      <c r="R7" s="1"/>
    </row>
    <row r="8" customFormat="false" ht="18" hidden="false" customHeight="true" outlineLevel="0" collapsed="false">
      <c r="A8" s="1"/>
      <c r="B8" s="1"/>
      <c r="C8" s="9" t="s">
        <v>2</v>
      </c>
      <c r="D8" s="9"/>
      <c r="E8" s="9"/>
      <c r="F8" s="1"/>
      <c r="G8" s="10" t="s">
        <v>3</v>
      </c>
      <c r="H8" s="10"/>
      <c r="I8" s="10"/>
      <c r="J8" s="1"/>
      <c r="K8" s="11" t="s">
        <v>4</v>
      </c>
      <c r="L8" s="11"/>
      <c r="M8" s="11"/>
      <c r="N8" s="1"/>
      <c r="O8" s="12" t="s">
        <v>5</v>
      </c>
      <c r="P8" s="12"/>
      <c r="Q8" s="12"/>
      <c r="R8" s="1"/>
    </row>
    <row r="9" customFormat="false" ht="39.75" hidden="false" customHeight="true" outlineLevel="0" collapsed="false">
      <c r="A9" s="1"/>
      <c r="B9" s="1"/>
      <c r="C9" s="13" t="str">
        <f aca="false">IF('Daily Tracker'!F5&lt;&gt;"",'Daily Tracker'!F5,"—")</f>
        <v>—</v>
      </c>
      <c r="D9" s="13"/>
      <c r="E9" s="13"/>
      <c r="F9" s="1"/>
      <c r="G9" s="14" t="str">
        <f aca="false">IF('Daily Tracker'!E5&lt;&gt;"",'Daily Tracker'!E5,"—")</f>
        <v>—</v>
      </c>
      <c r="H9" s="14"/>
      <c r="I9" s="14"/>
      <c r="J9" s="1"/>
      <c r="K9" s="15" t="str">
        <f aca="false">IF('Daily Tracker'!G5&lt;&gt;"",'Daily Tracker'!G5,"—")</f>
        <v>—</v>
      </c>
      <c r="L9" s="15"/>
      <c r="M9" s="15"/>
      <c r="N9" s="1"/>
      <c r="O9" s="16" t="str">
        <f aca="false">IF('Daily Tracker'!I5&lt;&gt;"",'Daily Tracker'!I5,"—")</f>
        <v>—</v>
      </c>
      <c r="P9" s="16"/>
      <c r="Q9" s="16"/>
      <c r="R9" s="1"/>
    </row>
    <row r="10" customFormat="false" ht="18" hidden="false" customHeight="true" outlineLevel="0" collapsed="false">
      <c r="A10" s="1"/>
      <c r="B10" s="1"/>
      <c r="C10" s="17" t="s">
        <v>6</v>
      </c>
      <c r="D10" s="17"/>
      <c r="E10" s="17"/>
      <c r="F10" s="1"/>
      <c r="G10" s="18" t="s">
        <v>6</v>
      </c>
      <c r="H10" s="18"/>
      <c r="I10" s="18"/>
      <c r="J10" s="1"/>
      <c r="K10" s="19" t="s">
        <v>7</v>
      </c>
      <c r="L10" s="19"/>
      <c r="M10" s="19"/>
      <c r="N10" s="1"/>
      <c r="O10" s="20" t="s">
        <v>6</v>
      </c>
      <c r="P10" s="20"/>
      <c r="Q10" s="20"/>
      <c r="R10" s="1"/>
    </row>
    <row r="11" customFormat="false" ht="6" hidden="false" customHeight="true" outlineLevel="0" collapsed="false">
      <c r="A11" s="1"/>
      <c r="B11" s="1"/>
      <c r="C11" s="21"/>
      <c r="D11" s="21"/>
      <c r="E11" s="21"/>
      <c r="F11" s="1"/>
      <c r="G11" s="22"/>
      <c r="H11" s="22"/>
      <c r="I11" s="22"/>
      <c r="J11" s="1"/>
      <c r="K11" s="23"/>
      <c r="L11" s="23"/>
      <c r="M11" s="23"/>
      <c r="N11" s="1"/>
      <c r="O11" s="24"/>
      <c r="P11" s="24"/>
      <c r="Q11" s="24"/>
      <c r="R11" s="1"/>
    </row>
    <row r="12" customFormat="false" ht="6" hidden="false" customHeight="true" outlineLevel="0" collapsed="false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customFormat="false" ht="24" hidden="false" customHeight="true" outlineLevel="0" collapsed="false">
      <c r="A13" s="1"/>
      <c r="B13" s="1"/>
      <c r="C13" s="25" t="str">
        <f aca="false">IF('Daily Tracker'!L5&lt;&gt;"","BSH/ST1 SE: "&amp;TEXT('Daily Tracker'!L5,"0.000")&amp;" EUR/l","")</f>
        <v/>
      </c>
      <c r="D13" s="25"/>
      <c r="E13" s="25"/>
      <c r="F13" s="1"/>
      <c r="G13" s="26" t="str">
        <f aca="false">IF(AND('Daily Tracker'!E5&lt;&gt;"",'Daily Tracker'!F5&lt;&gt;""),"PL vs LT: "&amp;TEXT(('Daily Tracker'!E5-'Daily Tracker'!F5)/'Daily Tracker'!F5,"+0.0%;-0.0%"),"")</f>
        <v/>
      </c>
      <c r="H13" s="26"/>
      <c r="I13" s="26"/>
      <c r="J13" s="1"/>
      <c r="K13" s="27" t="str">
        <f aca="false">"Latest daily entry: "&amp;TEXT('Daily Tracker'!A5,"YYYY-MM-DD")</f>
        <v>Latest daily entry: 2025-03-14</v>
      </c>
      <c r="L13" s="27"/>
      <c r="M13" s="27"/>
      <c r="N13" s="27"/>
      <c r="O13" s="27"/>
      <c r="P13" s="27"/>
      <c r="Q13" s="27"/>
      <c r="R13" s="1"/>
    </row>
    <row r="14" customFormat="false" ht="15" hidden="false" customHeight="false" outlineLevel="0" collapsed="false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customFormat="false" ht="30" hidden="false" customHeight="true" outlineLevel="0" collapsed="false">
      <c r="A15" s="1"/>
      <c r="B15" s="1"/>
      <c r="C15" s="28" t="s">
        <v>8</v>
      </c>
      <c r="D15" s="28"/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1"/>
    </row>
    <row r="16" customFormat="false" ht="21.75" hidden="false" customHeight="true" outlineLevel="0" collapsed="false">
      <c r="A16" s="1"/>
      <c r="B16" s="1"/>
      <c r="C16" s="29" t="s">
        <v>9</v>
      </c>
      <c r="D16" s="29"/>
      <c r="E16" s="29" t="s">
        <v>10</v>
      </c>
      <c r="F16" s="29"/>
      <c r="G16" s="29" t="s">
        <v>11</v>
      </c>
      <c r="H16" s="29"/>
      <c r="I16" s="29" t="s">
        <v>12</v>
      </c>
      <c r="J16" s="29"/>
      <c r="K16" s="29" t="s">
        <v>13</v>
      </c>
      <c r="L16" s="29"/>
      <c r="M16" s="29" t="s">
        <v>14</v>
      </c>
      <c r="N16" s="29"/>
      <c r="O16" s="29" t="s">
        <v>15</v>
      </c>
      <c r="P16" s="29"/>
      <c r="Q16" s="1"/>
      <c r="R16" s="1"/>
    </row>
    <row r="17" customFormat="false" ht="36" hidden="false" customHeight="true" outlineLevel="0" collapsed="false">
      <c r="A17" s="1"/>
      <c r="B17" s="1"/>
      <c r="C17" s="30" t="str">
        <f aca="false">IF('Weekly Oil Bulletin'!B4&lt;&gt;"",'Weekly Oil Bulletin'!B4,"")</f>
        <v/>
      </c>
      <c r="D17" s="30"/>
      <c r="E17" s="31" t="str">
        <f aca="false">IF('Weekly Oil Bulletin'!C4&lt;&gt;"",'Weekly Oil Bulletin'!C4,"")</f>
        <v/>
      </c>
      <c r="F17" s="31"/>
      <c r="G17" s="32" t="str">
        <f aca="false">IF('Weekly Oil Bulletin'!D4&lt;&gt;"",'Weekly Oil Bulletin'!D4,"")</f>
        <v/>
      </c>
      <c r="H17" s="32"/>
      <c r="I17" s="33" t="str">
        <f aca="false">IF('Weekly Oil Bulletin'!E4&lt;&gt;"",'Weekly Oil Bulletin'!E4,"")</f>
        <v/>
      </c>
      <c r="J17" s="33"/>
      <c r="K17" s="34" t="str">
        <f aca="false">IF('Weekly Oil Bulletin'!F4&lt;&gt;"",'Weekly Oil Bulletin'!F4,"")</f>
        <v/>
      </c>
      <c r="L17" s="34"/>
      <c r="M17" s="35" t="str">
        <f aca="false">IF('Weekly Oil Bulletin'!G4&lt;&gt;"",'Weekly Oil Bulletin'!G4,"")</f>
        <v/>
      </c>
      <c r="N17" s="35"/>
      <c r="O17" s="36" t="str">
        <f aca="false">IF('Weekly Oil Bulletin'!H4&lt;&gt;"",'Weekly Oil Bulletin'!H4,"")</f>
        <v/>
      </c>
      <c r="P17" s="36"/>
      <c r="Q17" s="1"/>
      <c r="R17" s="1"/>
    </row>
    <row r="18" customFormat="false" ht="15.75" hidden="false" customHeight="true" outlineLevel="0" collapsed="false">
      <c r="A18" s="1"/>
      <c r="B18" s="1"/>
      <c r="C18" s="37" t="s">
        <v>16</v>
      </c>
      <c r="D18" s="37"/>
      <c r="E18" s="37" t="s">
        <v>16</v>
      </c>
      <c r="F18" s="37"/>
      <c r="G18" s="37" t="s">
        <v>16</v>
      </c>
      <c r="H18" s="37"/>
      <c r="I18" s="37" t="s">
        <v>16</v>
      </c>
      <c r="J18" s="37"/>
      <c r="K18" s="37" t="s">
        <v>16</v>
      </c>
      <c r="L18" s="37"/>
      <c r="M18" s="37" t="s">
        <v>16</v>
      </c>
      <c r="N18" s="37"/>
      <c r="O18" s="37" t="s">
        <v>16</v>
      </c>
      <c r="P18" s="37"/>
      <c r="Q18" s="1"/>
      <c r="R18" s="1"/>
    </row>
    <row r="19" customFormat="false" ht="15.75" hidden="false" customHeight="true" outlineLevel="0" collapsed="false">
      <c r="A19" s="1"/>
      <c r="B19" s="1"/>
      <c r="C19" s="37" t="str">
        <f aca="false">IF('Weekly Oil Bulletin'!A4&lt;&gt;"","Data from week of "&amp;TEXT('Weekly Oil Bulletin'!A4,"YYYY-MM-DD")&amp;"  ·  Source: EC Weekly Oil Bulletin","")</f>
        <v>Data from week of 2025-03-10  ·  Source: EC Weekly Oil Bulletin</v>
      </c>
      <c r="D19" s="37"/>
      <c r="E19" s="37"/>
      <c r="F19" s="37"/>
      <c r="G19" s="37"/>
      <c r="H19" s="37"/>
      <c r="I19" s="37"/>
      <c r="J19" s="37"/>
      <c r="K19" s="37"/>
      <c r="L19" s="37"/>
      <c r="M19" s="37"/>
      <c r="N19" s="37"/>
      <c r="O19" s="37"/>
      <c r="P19" s="37"/>
      <c r="Q19" s="1"/>
      <c r="R19" s="1"/>
    </row>
    <row r="20" customFormat="false" ht="15" hidden="false" customHeight="false" outlineLevel="0" collapsed="false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customFormat="false" ht="24" hidden="false" customHeight="true" outlineLevel="0" collapsed="false">
      <c r="A21" s="1"/>
      <c r="B21" s="1"/>
      <c r="C21" s="38" t="s">
        <v>17</v>
      </c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1"/>
    </row>
    <row r="22" customFormat="false" ht="15" hidden="false" customHeight="false" outlineLevel="0" collapsed="false">
      <c r="A22" s="1"/>
      <c r="B22" s="1"/>
      <c r="C22" s="39" t="s">
        <v>18</v>
      </c>
      <c r="D22" s="1"/>
      <c r="E22" s="39" t="s">
        <v>19</v>
      </c>
      <c r="F22" s="1"/>
      <c r="G22" s="39" t="s">
        <v>20</v>
      </c>
      <c r="H22" s="1"/>
      <c r="I22" s="39" t="s">
        <v>21</v>
      </c>
      <c r="J22" s="1"/>
      <c r="K22" s="39" t="s">
        <v>22</v>
      </c>
      <c r="L22" s="1"/>
      <c r="M22" s="39" t="s">
        <v>23</v>
      </c>
      <c r="N22" s="1"/>
      <c r="O22" s="39" t="s">
        <v>24</v>
      </c>
      <c r="P22" s="1"/>
      <c r="Q22" s="1"/>
      <c r="R22" s="1"/>
    </row>
    <row r="23" customFormat="false" ht="15" hidden="false" customHeight="false" outlineLevel="0" collapsed="false">
      <c r="A23" s="1"/>
      <c r="B23" s="1"/>
      <c r="C23" s="40" t="n">
        <f aca="false">'Weekly Oil Bulletin'!B4</f>
        <v>0</v>
      </c>
      <c r="D23" s="1"/>
      <c r="E23" s="40" t="n">
        <f aca="false">'Weekly Oil Bulletin'!C4</f>
        <v>0</v>
      </c>
      <c r="F23" s="1"/>
      <c r="G23" s="40" t="n">
        <f aca="false">'Weekly Oil Bulletin'!D4</f>
        <v>0</v>
      </c>
      <c r="H23" s="1"/>
      <c r="I23" s="40" t="n">
        <f aca="false">'Weekly Oil Bulletin'!E4</f>
        <v>0</v>
      </c>
      <c r="J23" s="1"/>
      <c r="K23" s="40" t="n">
        <f aca="false">'Weekly Oil Bulletin'!F4</f>
        <v>0</v>
      </c>
      <c r="L23" s="1"/>
      <c r="M23" s="40" t="n">
        <f aca="false">'Weekly Oil Bulletin'!G4</f>
        <v>0</v>
      </c>
      <c r="N23" s="1"/>
      <c r="O23" s="40" t="n">
        <f aca="false">'Weekly Oil Bulletin'!H4</f>
        <v>0</v>
      </c>
      <c r="P23" s="1"/>
      <c r="Q23" s="1"/>
      <c r="R23" s="1"/>
    </row>
    <row r="24" customFormat="false" ht="15" hidden="false" customHeight="false" outlineLevel="0" collapsed="false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customFormat="false" ht="15" hidden="false" customHeight="false" outlineLevel="0" collapsed="false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customFormat="false" ht="15" hidden="false" customHeight="false" outlineLevel="0" collapsed="false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  <row r="27" customFormat="false" ht="15" hidden="false" customHeight="false" outlineLevel="0" collapsed="false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</row>
    <row r="28" customFormat="false" ht="15" hidden="false" customHeight="false" outlineLevel="0" collapsed="false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</row>
    <row r="29" customFormat="false" ht="15" hidden="false" customHeight="false" outlineLevel="0" collapsed="false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</row>
    <row r="30" customFormat="false" ht="15" hidden="false" customHeight="false" outlineLevel="0" collapsed="false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customFormat="false" ht="15" hidden="false" customHeight="false" outlineLevel="0" collapsed="false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customFormat="false" ht="15" hidden="false" customHeight="false" outlineLevel="0" collapsed="false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customFormat="false" ht="15" hidden="false" customHeight="false" outlineLevel="0" collapsed="false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customFormat="false" ht="15" hidden="false" customHeight="false" outlineLevel="0" collapsed="false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customFormat="false" ht="15" hidden="false" customHeight="false" outlineLevel="0" collapsed="false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customFormat="false" ht="15" hidden="false" customHeight="false" outlineLevel="0" collapsed="false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customFormat="false" ht="15" hidden="false" customHeight="false" outlineLevel="0" collapsed="false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customFormat="false" ht="24" hidden="false" customHeight="true" outlineLevel="0" collapsed="false">
      <c r="A38" s="1"/>
      <c r="B38" s="1"/>
      <c r="C38" s="41" t="s">
        <v>25</v>
      </c>
      <c r="D38" s="41"/>
      <c r="E38" s="41"/>
      <c r="F38" s="41"/>
      <c r="G38" s="41"/>
      <c r="H38" s="41"/>
      <c r="I38" s="41"/>
      <c r="J38" s="41"/>
      <c r="K38" s="41"/>
      <c r="L38" s="41"/>
      <c r="M38" s="41"/>
      <c r="N38" s="41"/>
      <c r="O38" s="41"/>
      <c r="P38" s="41"/>
      <c r="Q38" s="41"/>
      <c r="R38" s="1"/>
    </row>
    <row r="39" customFormat="false" ht="21.75" hidden="false" customHeight="true" outlineLevel="0" collapsed="false">
      <c r="A39" s="1"/>
      <c r="B39" s="1"/>
      <c r="C39" s="42" t="s">
        <v>26</v>
      </c>
      <c r="D39" s="43" t="s">
        <v>27</v>
      </c>
      <c r="E39" s="43"/>
      <c r="F39" s="44" t="s">
        <v>28</v>
      </c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1"/>
    </row>
    <row r="40" customFormat="false" ht="21.75" hidden="false" customHeight="true" outlineLevel="0" collapsed="false">
      <c r="A40" s="1"/>
      <c r="B40" s="1"/>
      <c r="C40" s="42" t="s">
        <v>29</v>
      </c>
      <c r="D40" s="43" t="s">
        <v>30</v>
      </c>
      <c r="E40" s="43"/>
      <c r="F40" s="44" t="s">
        <v>31</v>
      </c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1"/>
    </row>
    <row r="41" customFormat="false" ht="21.75" hidden="false" customHeight="true" outlineLevel="0" collapsed="false">
      <c r="A41" s="1"/>
      <c r="B41" s="1"/>
      <c r="C41" s="45" t="s">
        <v>32</v>
      </c>
      <c r="D41" s="46" t="s">
        <v>33</v>
      </c>
      <c r="E41" s="46"/>
      <c r="F41" s="47" t="s">
        <v>34</v>
      </c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1"/>
    </row>
    <row r="42" customFormat="false" ht="21.75" hidden="false" customHeight="true" outlineLevel="0" collapsed="false">
      <c r="A42" s="1"/>
      <c r="B42" s="1"/>
      <c r="C42" s="42" t="s">
        <v>35</v>
      </c>
      <c r="D42" s="43" t="s">
        <v>36</v>
      </c>
      <c r="E42" s="43"/>
      <c r="F42" s="44" t="s">
        <v>37</v>
      </c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1"/>
    </row>
    <row r="43" customFormat="false" ht="15" hidden="false" customHeight="false" outlineLevel="0" collapsed="false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customFormat="false" ht="15" hidden="false" customHeight="false" outlineLevel="0" collapsed="false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customFormat="false" ht="15" hidden="false" customHeight="false" outlineLevel="0" collapsed="false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customFormat="false" ht="15" hidden="false" customHeight="false" outlineLevel="0" collapsed="false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customFormat="false" ht="15" hidden="false" customHeight="false" outlineLevel="0" collapsed="false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customFormat="false" ht="15" hidden="false" customHeight="false" outlineLevel="0" collapsed="false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customFormat="false" ht="15" hidden="false" customHeight="false" outlineLevel="0" collapsed="false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customFormat="false" ht="15" hidden="false" customHeight="fals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customFormat="false" ht="15" hidden="false" customHeight="fals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customFormat="false" ht="15" hidden="false" customHeight="false" outlineLevel="0" collapsed="false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customFormat="false" ht="15" hidden="false" customHeight="false" outlineLevel="0" collapsed="false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customFormat="false" ht="15" hidden="false" customHeight="false" outlineLevel="0" collapsed="false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</sheetData>
  <mergeCells count="50">
    <mergeCell ref="C3:Q3"/>
    <mergeCell ref="C4:Q4"/>
    <mergeCell ref="C8:E8"/>
    <mergeCell ref="G8:I8"/>
    <mergeCell ref="K8:M8"/>
    <mergeCell ref="O8:Q8"/>
    <mergeCell ref="C9:E9"/>
    <mergeCell ref="G9:I9"/>
    <mergeCell ref="K9:M9"/>
    <mergeCell ref="O9:Q9"/>
    <mergeCell ref="C10:E10"/>
    <mergeCell ref="G10:I10"/>
    <mergeCell ref="K10:M10"/>
    <mergeCell ref="O10:Q10"/>
    <mergeCell ref="C13:E13"/>
    <mergeCell ref="G13:I13"/>
    <mergeCell ref="K13:Q13"/>
    <mergeCell ref="C15:Q15"/>
    <mergeCell ref="C16:D16"/>
    <mergeCell ref="E16:F16"/>
    <mergeCell ref="G16:H16"/>
    <mergeCell ref="I16:J16"/>
    <mergeCell ref="K16:L16"/>
    <mergeCell ref="M16:N16"/>
    <mergeCell ref="O16:P16"/>
    <mergeCell ref="C17:D17"/>
    <mergeCell ref="E17:F17"/>
    <mergeCell ref="G17:H17"/>
    <mergeCell ref="I17:J17"/>
    <mergeCell ref="K17:L17"/>
    <mergeCell ref="M17:N17"/>
    <mergeCell ref="O17:P17"/>
    <mergeCell ref="C18:D18"/>
    <mergeCell ref="E18:F18"/>
    <mergeCell ref="G18:H18"/>
    <mergeCell ref="I18:J18"/>
    <mergeCell ref="K18:L18"/>
    <mergeCell ref="M18:N18"/>
    <mergeCell ref="O18:P18"/>
    <mergeCell ref="C19:P19"/>
    <mergeCell ref="C21:Q21"/>
    <mergeCell ref="C38:Q38"/>
    <mergeCell ref="D39:E39"/>
    <mergeCell ref="F39:Q39"/>
    <mergeCell ref="D40:E40"/>
    <mergeCell ref="F40:Q40"/>
    <mergeCell ref="D41:E41"/>
    <mergeCell ref="F41:Q41"/>
    <mergeCell ref="D42:E42"/>
    <mergeCell ref="F42:Q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6B6D4"/>
    <pageSetUpPr fitToPage="false"/>
  </sheetPr>
  <dimension ref="A1:O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7" min="7" style="0" width="10"/>
    <col collapsed="false" customWidth="true" hidden="false" outlineLevel="0" max="8" min="8" style="0" width="8"/>
    <col collapsed="false" customWidth="true" hidden="false" outlineLevel="0" max="10" min="9" style="0" width="11"/>
    <col collapsed="false" customWidth="true" hidden="false" outlineLevel="0" max="11" min="11" style="0" width="10"/>
    <col collapsed="false" customWidth="true" hidden="false" outlineLevel="0" max="12" min="12" style="0" width="11"/>
    <col collapsed="false" customWidth="true" hidden="false" outlineLevel="0" max="13" min="13" style="0" width="20"/>
    <col collapsed="false" customWidth="true" hidden="false" outlineLevel="0" max="14" min="14" style="0" width="8"/>
  </cols>
  <sheetData>
    <row r="1" customFormat="false" ht="36" hidden="false" customHeight="true" outlineLevel="0" collapsed="false">
      <c r="A1" s="48" t="s">
        <v>38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1"/>
    </row>
    <row r="2" customFormat="false" ht="18" hidden="false" customHeight="true" outlineLevel="0" collapsed="false">
      <c r="A2" s="3" t="s">
        <v>39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1"/>
    </row>
    <row r="3" customFormat="false" ht="21.75" hidden="false" customHeight="true" outlineLevel="0" collapsed="false">
      <c r="A3" s="49"/>
      <c r="B3" s="49"/>
      <c r="C3" s="50" t="s">
        <v>40</v>
      </c>
      <c r="D3" s="50"/>
      <c r="E3" s="50"/>
      <c r="F3" s="51" t="s">
        <v>41</v>
      </c>
      <c r="G3" s="52" t="s">
        <v>42</v>
      </c>
      <c r="H3" s="52"/>
      <c r="I3" s="53" t="s">
        <v>43</v>
      </c>
      <c r="J3" s="54" t="s">
        <v>44</v>
      </c>
      <c r="K3" s="54"/>
      <c r="L3" s="54"/>
      <c r="M3" s="49"/>
      <c r="N3" s="49"/>
      <c r="O3" s="1"/>
    </row>
    <row r="4" customFormat="false" ht="31.5" hidden="false" customHeight="true" outlineLevel="0" collapsed="false">
      <c r="A4" s="55" t="s">
        <v>45</v>
      </c>
      <c r="B4" s="55" t="s">
        <v>46</v>
      </c>
      <c r="C4" s="55" t="s">
        <v>47</v>
      </c>
      <c r="D4" s="55" t="s">
        <v>48</v>
      </c>
      <c r="E4" s="55" t="s">
        <v>16</v>
      </c>
      <c r="F4" s="55" t="s">
        <v>16</v>
      </c>
      <c r="G4" s="55" t="s">
        <v>49</v>
      </c>
      <c r="H4" s="55" t="s">
        <v>50</v>
      </c>
      <c r="I4" s="55" t="s">
        <v>16</v>
      </c>
      <c r="J4" s="55" t="s">
        <v>51</v>
      </c>
      <c r="K4" s="55" t="s">
        <v>52</v>
      </c>
      <c r="L4" s="55" t="s">
        <v>16</v>
      </c>
      <c r="M4" s="55" t="s">
        <v>53</v>
      </c>
      <c r="N4" s="55" t="s">
        <v>54</v>
      </c>
      <c r="O4" s="1"/>
    </row>
    <row r="5" customFormat="false" ht="21.75" hidden="false" customHeight="true" outlineLevel="0" collapsed="false">
      <c r="A5" s="56" t="n">
        <v>45730</v>
      </c>
      <c r="B5" s="57" t="s">
        <v>55</v>
      </c>
      <c r="C5" s="58"/>
      <c r="D5" s="59"/>
      <c r="E5" s="60" t="str">
        <f aca="false">IF(AND(C5&lt;&gt;"",D5&lt;&gt;"",D5&lt;&gt;0),C5/D5/1000,"")</f>
        <v/>
      </c>
      <c r="F5" s="61"/>
      <c r="G5" s="62" t="str">
        <f aca="false">IF(AND(E5&lt;&gt;"",F5&lt;&gt;""),E5-F5,"")</f>
        <v/>
      </c>
      <c r="H5" s="63" t="str">
        <f aca="false">IF(AND(E5&lt;&gt;"",F5&lt;&gt;"",F5&lt;&gt;0),(E5-F5)/F5,"")</f>
        <v/>
      </c>
      <c r="I5" s="61"/>
      <c r="J5" s="64"/>
      <c r="K5" s="59"/>
      <c r="L5" s="60" t="str">
        <f aca="false">IF(AND(J5&lt;&gt;"",K5&lt;&gt;"",K5&lt;&gt;0),J5/K5,"")</f>
        <v/>
      </c>
      <c r="M5" s="65"/>
      <c r="N5" s="66"/>
      <c r="O5" s="1"/>
    </row>
    <row r="6" customFormat="false" ht="21.75" hidden="false" customHeight="true" outlineLevel="0" collapsed="false">
      <c r="A6" s="67" t="n">
        <v>45729</v>
      </c>
      <c r="B6" s="68" t="s">
        <v>56</v>
      </c>
      <c r="C6" s="58"/>
      <c r="D6" s="59"/>
      <c r="E6" s="69" t="str">
        <f aca="false">IF(AND(C6&lt;&gt;"",D6&lt;&gt;"",D6&lt;&gt;0),C6/D6/1000,"")</f>
        <v/>
      </c>
      <c r="F6" s="61"/>
      <c r="G6" s="70" t="str">
        <f aca="false">IF(AND(E6&lt;&gt;"",F6&lt;&gt;""),E6-F6,"")</f>
        <v/>
      </c>
      <c r="H6" s="71" t="str">
        <f aca="false">IF(AND(E6&lt;&gt;"",F6&lt;&gt;"",F6&lt;&gt;0),(E6-F6)/F6,"")</f>
        <v/>
      </c>
      <c r="I6" s="61"/>
      <c r="J6" s="64"/>
      <c r="K6" s="59"/>
      <c r="L6" s="69" t="str">
        <f aca="false">IF(AND(J6&lt;&gt;"",K6&lt;&gt;"",K6&lt;&gt;0),J6/K6,"")</f>
        <v/>
      </c>
      <c r="M6" s="72"/>
      <c r="N6" s="73"/>
      <c r="O6" s="1"/>
    </row>
    <row r="7" customFormat="false" ht="21.75" hidden="false" customHeight="true" outlineLevel="0" collapsed="false">
      <c r="A7" s="56" t="n">
        <v>45728</v>
      </c>
      <c r="B7" s="57" t="s">
        <v>57</v>
      </c>
      <c r="C7" s="58"/>
      <c r="D7" s="59"/>
      <c r="E7" s="60" t="str">
        <f aca="false">IF(AND(C7&lt;&gt;"",D7&lt;&gt;"",D7&lt;&gt;0),C7/D7/1000,"")</f>
        <v/>
      </c>
      <c r="F7" s="61"/>
      <c r="G7" s="62" t="str">
        <f aca="false">IF(AND(E7&lt;&gt;"",F7&lt;&gt;""),E7-F7,"")</f>
        <v/>
      </c>
      <c r="H7" s="63" t="str">
        <f aca="false">IF(AND(E7&lt;&gt;"",F7&lt;&gt;"",F7&lt;&gt;0),(E7-F7)/F7,"")</f>
        <v/>
      </c>
      <c r="I7" s="61"/>
      <c r="J7" s="64"/>
      <c r="K7" s="59"/>
      <c r="L7" s="60" t="str">
        <f aca="false">IF(AND(J7&lt;&gt;"",K7&lt;&gt;"",K7&lt;&gt;0),J7/K7,"")</f>
        <v/>
      </c>
      <c r="M7" s="65"/>
      <c r="N7" s="66"/>
      <c r="O7" s="1"/>
    </row>
    <row r="8" customFormat="false" ht="21.75" hidden="false" customHeight="true" outlineLevel="0" collapsed="false">
      <c r="A8" s="67" t="n">
        <v>45727</v>
      </c>
      <c r="B8" s="68" t="s">
        <v>58</v>
      </c>
      <c r="C8" s="58"/>
      <c r="D8" s="59"/>
      <c r="E8" s="69" t="str">
        <f aca="false">IF(AND(C8&lt;&gt;"",D8&lt;&gt;"",D8&lt;&gt;0),C8/D8/1000,"")</f>
        <v/>
      </c>
      <c r="F8" s="61"/>
      <c r="G8" s="70" t="str">
        <f aca="false">IF(AND(E8&lt;&gt;"",F8&lt;&gt;""),E8-F8,"")</f>
        <v/>
      </c>
      <c r="H8" s="71" t="str">
        <f aca="false">IF(AND(E8&lt;&gt;"",F8&lt;&gt;"",F8&lt;&gt;0),(E8-F8)/F8,"")</f>
        <v/>
      </c>
      <c r="I8" s="61"/>
      <c r="J8" s="64"/>
      <c r="K8" s="59"/>
      <c r="L8" s="69" t="str">
        <f aca="false">IF(AND(J8&lt;&gt;"",K8&lt;&gt;"",K8&lt;&gt;0),J8/K8,"")</f>
        <v/>
      </c>
      <c r="M8" s="72"/>
      <c r="N8" s="73"/>
      <c r="O8" s="1"/>
    </row>
    <row r="9" customFormat="false" ht="21.75" hidden="false" customHeight="true" outlineLevel="0" collapsed="false">
      <c r="A9" s="56" t="n">
        <v>45726</v>
      </c>
      <c r="B9" s="57" t="s">
        <v>59</v>
      </c>
      <c r="C9" s="58"/>
      <c r="D9" s="59"/>
      <c r="E9" s="60" t="str">
        <f aca="false">IF(AND(C9&lt;&gt;"",D9&lt;&gt;"",D9&lt;&gt;0),C9/D9/1000,"")</f>
        <v/>
      </c>
      <c r="F9" s="61"/>
      <c r="G9" s="62" t="str">
        <f aca="false">IF(AND(E9&lt;&gt;"",F9&lt;&gt;""),E9-F9,"")</f>
        <v/>
      </c>
      <c r="H9" s="63" t="str">
        <f aca="false">IF(AND(E9&lt;&gt;"",F9&lt;&gt;"",F9&lt;&gt;0),(E9-F9)/F9,"")</f>
        <v/>
      </c>
      <c r="I9" s="61"/>
      <c r="J9" s="64"/>
      <c r="K9" s="59"/>
      <c r="L9" s="60" t="str">
        <f aca="false">IF(AND(J9&lt;&gt;"",K9&lt;&gt;"",K9&lt;&gt;0),J9/K9,"")</f>
        <v/>
      </c>
      <c r="M9" s="65"/>
      <c r="N9" s="66"/>
      <c r="O9" s="1"/>
    </row>
    <row r="10" customFormat="false" ht="21.75" hidden="false" customHeight="true" outlineLevel="0" collapsed="false">
      <c r="A10" s="74" t="n">
        <v>45725</v>
      </c>
      <c r="B10" s="75" t="s">
        <v>60</v>
      </c>
      <c r="C10" s="58"/>
      <c r="D10" s="59"/>
      <c r="E10" s="76" t="str">
        <f aca="false">IF(AND(C10&lt;&gt;"",D10&lt;&gt;"",D10&lt;&gt;0),C10/D10/1000,"")</f>
        <v/>
      </c>
      <c r="F10" s="61"/>
      <c r="G10" s="77" t="str">
        <f aca="false">IF(AND(E10&lt;&gt;"",F10&lt;&gt;""),E10-F10,"")</f>
        <v/>
      </c>
      <c r="H10" s="78" t="str">
        <f aca="false">IF(AND(E10&lt;&gt;"",F10&lt;&gt;"",F10&lt;&gt;0),(E10-F10)/F10,"")</f>
        <v/>
      </c>
      <c r="I10" s="61"/>
      <c r="J10" s="64"/>
      <c r="K10" s="59"/>
      <c r="L10" s="76" t="str">
        <f aca="false">IF(AND(J10&lt;&gt;"",K10&lt;&gt;"",K10&lt;&gt;0),J10/K10,"")</f>
        <v/>
      </c>
      <c r="M10" s="79"/>
      <c r="N10" s="80"/>
      <c r="O10" s="1"/>
    </row>
    <row r="11" customFormat="false" ht="21.75" hidden="false" customHeight="true" outlineLevel="0" collapsed="false">
      <c r="A11" s="74" t="n">
        <v>45724</v>
      </c>
      <c r="B11" s="75" t="s">
        <v>61</v>
      </c>
      <c r="C11" s="58"/>
      <c r="D11" s="59"/>
      <c r="E11" s="76" t="str">
        <f aca="false">IF(AND(C11&lt;&gt;"",D11&lt;&gt;"",D11&lt;&gt;0),C11/D11/1000,"")</f>
        <v/>
      </c>
      <c r="F11" s="61"/>
      <c r="G11" s="77" t="str">
        <f aca="false">IF(AND(E11&lt;&gt;"",F11&lt;&gt;""),E11-F11,"")</f>
        <v/>
      </c>
      <c r="H11" s="78" t="str">
        <f aca="false">IF(AND(E11&lt;&gt;"",F11&lt;&gt;"",F11&lt;&gt;0),(E11-F11)/F11,"")</f>
        <v/>
      </c>
      <c r="I11" s="61"/>
      <c r="J11" s="64"/>
      <c r="K11" s="59"/>
      <c r="L11" s="76" t="str">
        <f aca="false">IF(AND(J11&lt;&gt;"",K11&lt;&gt;"",K11&lt;&gt;0),J11/K11,"")</f>
        <v/>
      </c>
      <c r="M11" s="79"/>
      <c r="N11" s="80"/>
      <c r="O11" s="1"/>
    </row>
    <row r="12" customFormat="false" ht="21.75" hidden="false" customHeight="true" outlineLevel="0" collapsed="false">
      <c r="A12" s="67" t="n">
        <v>45723</v>
      </c>
      <c r="B12" s="68" t="s">
        <v>55</v>
      </c>
      <c r="C12" s="58"/>
      <c r="D12" s="59"/>
      <c r="E12" s="69" t="str">
        <f aca="false">IF(AND(C12&lt;&gt;"",D12&lt;&gt;"",D12&lt;&gt;0),C12/D12/1000,"")</f>
        <v/>
      </c>
      <c r="F12" s="61"/>
      <c r="G12" s="70" t="str">
        <f aca="false">IF(AND(E12&lt;&gt;"",F12&lt;&gt;""),E12-F12,"")</f>
        <v/>
      </c>
      <c r="H12" s="71" t="str">
        <f aca="false">IF(AND(E12&lt;&gt;"",F12&lt;&gt;"",F12&lt;&gt;0),(E12-F12)/F12,"")</f>
        <v/>
      </c>
      <c r="I12" s="61"/>
      <c r="J12" s="64"/>
      <c r="K12" s="59"/>
      <c r="L12" s="69" t="str">
        <f aca="false">IF(AND(J12&lt;&gt;"",K12&lt;&gt;"",K12&lt;&gt;0),J12/K12,"")</f>
        <v/>
      </c>
      <c r="M12" s="72"/>
      <c r="N12" s="73"/>
      <c r="O12" s="1"/>
    </row>
    <row r="13" customFormat="false" ht="21.75" hidden="false" customHeight="true" outlineLevel="0" collapsed="false">
      <c r="A13" s="56" t="n">
        <v>45722</v>
      </c>
      <c r="B13" s="57" t="s">
        <v>56</v>
      </c>
      <c r="C13" s="58"/>
      <c r="D13" s="59"/>
      <c r="E13" s="60" t="str">
        <f aca="false">IF(AND(C13&lt;&gt;"",D13&lt;&gt;"",D13&lt;&gt;0),C13/D13/1000,"")</f>
        <v/>
      </c>
      <c r="F13" s="61"/>
      <c r="G13" s="62" t="str">
        <f aca="false">IF(AND(E13&lt;&gt;"",F13&lt;&gt;""),E13-F13,"")</f>
        <v/>
      </c>
      <c r="H13" s="63" t="str">
        <f aca="false">IF(AND(E13&lt;&gt;"",F13&lt;&gt;"",F13&lt;&gt;0),(E13-F13)/F13,"")</f>
        <v/>
      </c>
      <c r="I13" s="61"/>
      <c r="J13" s="64"/>
      <c r="K13" s="59"/>
      <c r="L13" s="60" t="str">
        <f aca="false">IF(AND(J13&lt;&gt;"",K13&lt;&gt;"",K13&lt;&gt;0),J13/K13,"")</f>
        <v/>
      </c>
      <c r="M13" s="65"/>
      <c r="N13" s="66"/>
      <c r="O13" s="1"/>
    </row>
    <row r="14" customFormat="false" ht="21.75" hidden="false" customHeight="true" outlineLevel="0" collapsed="false">
      <c r="A14" s="67" t="n">
        <v>45721</v>
      </c>
      <c r="B14" s="68" t="s">
        <v>57</v>
      </c>
      <c r="C14" s="58"/>
      <c r="D14" s="59"/>
      <c r="E14" s="69" t="str">
        <f aca="false">IF(AND(C14&lt;&gt;"",D14&lt;&gt;"",D14&lt;&gt;0),C14/D14/1000,"")</f>
        <v/>
      </c>
      <c r="F14" s="61"/>
      <c r="G14" s="70" t="str">
        <f aca="false">IF(AND(E14&lt;&gt;"",F14&lt;&gt;""),E14-F14,"")</f>
        <v/>
      </c>
      <c r="H14" s="71" t="str">
        <f aca="false">IF(AND(E14&lt;&gt;"",F14&lt;&gt;"",F14&lt;&gt;0),(E14-F14)/F14,"")</f>
        <v/>
      </c>
      <c r="I14" s="61"/>
      <c r="J14" s="64"/>
      <c r="K14" s="59"/>
      <c r="L14" s="69" t="str">
        <f aca="false">IF(AND(J14&lt;&gt;"",K14&lt;&gt;"",K14&lt;&gt;0),J14/K14,"")</f>
        <v/>
      </c>
      <c r="M14" s="72"/>
      <c r="N14" s="73"/>
      <c r="O14" s="1"/>
    </row>
    <row r="15" customFormat="false" ht="21.75" hidden="false" customHeight="true" outlineLevel="0" collapsed="false">
      <c r="A15" s="56" t="n">
        <v>45720</v>
      </c>
      <c r="B15" s="57" t="s">
        <v>58</v>
      </c>
      <c r="C15" s="58"/>
      <c r="D15" s="59"/>
      <c r="E15" s="60" t="str">
        <f aca="false">IF(AND(C15&lt;&gt;"",D15&lt;&gt;"",D15&lt;&gt;0),C15/D15/1000,"")</f>
        <v/>
      </c>
      <c r="F15" s="61"/>
      <c r="G15" s="62" t="str">
        <f aca="false">IF(AND(E15&lt;&gt;"",F15&lt;&gt;""),E15-F15,"")</f>
        <v/>
      </c>
      <c r="H15" s="63" t="str">
        <f aca="false">IF(AND(E15&lt;&gt;"",F15&lt;&gt;"",F15&lt;&gt;0),(E15-F15)/F15,"")</f>
        <v/>
      </c>
      <c r="I15" s="61"/>
      <c r="J15" s="64"/>
      <c r="K15" s="59"/>
      <c r="L15" s="60" t="str">
        <f aca="false">IF(AND(J15&lt;&gt;"",K15&lt;&gt;"",K15&lt;&gt;0),J15/K15,"")</f>
        <v/>
      </c>
      <c r="M15" s="65"/>
      <c r="N15" s="66"/>
      <c r="O15" s="1"/>
    </row>
    <row r="16" customFormat="false" ht="21.75" hidden="false" customHeight="true" outlineLevel="0" collapsed="false">
      <c r="A16" s="67" t="n">
        <v>45719</v>
      </c>
      <c r="B16" s="68" t="s">
        <v>59</v>
      </c>
      <c r="C16" s="58"/>
      <c r="D16" s="59"/>
      <c r="E16" s="69" t="str">
        <f aca="false">IF(AND(C16&lt;&gt;"",D16&lt;&gt;"",D16&lt;&gt;0),C16/D16/1000,"")</f>
        <v/>
      </c>
      <c r="F16" s="61"/>
      <c r="G16" s="70" t="str">
        <f aca="false">IF(AND(E16&lt;&gt;"",F16&lt;&gt;""),E16-F16,"")</f>
        <v/>
      </c>
      <c r="H16" s="71" t="str">
        <f aca="false">IF(AND(E16&lt;&gt;"",F16&lt;&gt;"",F16&lt;&gt;0),(E16-F16)/F16,"")</f>
        <v/>
      </c>
      <c r="I16" s="61"/>
      <c r="J16" s="64"/>
      <c r="K16" s="59"/>
      <c r="L16" s="69" t="str">
        <f aca="false">IF(AND(J16&lt;&gt;"",K16&lt;&gt;"",K16&lt;&gt;0),J16/K16,"")</f>
        <v/>
      </c>
      <c r="M16" s="72"/>
      <c r="N16" s="73"/>
      <c r="O16" s="1"/>
    </row>
    <row r="17" customFormat="false" ht="21.75" hidden="false" customHeight="true" outlineLevel="0" collapsed="false">
      <c r="A17" s="74" t="n">
        <v>45718</v>
      </c>
      <c r="B17" s="75" t="s">
        <v>60</v>
      </c>
      <c r="C17" s="58"/>
      <c r="D17" s="59"/>
      <c r="E17" s="76" t="str">
        <f aca="false">IF(AND(C17&lt;&gt;"",D17&lt;&gt;"",D17&lt;&gt;0),C17/D17/1000,"")</f>
        <v/>
      </c>
      <c r="F17" s="61"/>
      <c r="G17" s="77" t="str">
        <f aca="false">IF(AND(E17&lt;&gt;"",F17&lt;&gt;""),E17-F17,"")</f>
        <v/>
      </c>
      <c r="H17" s="78" t="str">
        <f aca="false">IF(AND(E17&lt;&gt;"",F17&lt;&gt;"",F17&lt;&gt;0),(E17-F17)/F17,"")</f>
        <v/>
      </c>
      <c r="I17" s="61"/>
      <c r="J17" s="64"/>
      <c r="K17" s="59"/>
      <c r="L17" s="76" t="str">
        <f aca="false">IF(AND(J17&lt;&gt;"",K17&lt;&gt;"",K17&lt;&gt;0),J17/K17,"")</f>
        <v/>
      </c>
      <c r="M17" s="79"/>
      <c r="N17" s="80"/>
      <c r="O17" s="1"/>
    </row>
    <row r="18" customFormat="false" ht="21.75" hidden="false" customHeight="true" outlineLevel="0" collapsed="false">
      <c r="A18" s="74" t="n">
        <v>45717</v>
      </c>
      <c r="B18" s="75" t="s">
        <v>61</v>
      </c>
      <c r="C18" s="58"/>
      <c r="D18" s="59"/>
      <c r="E18" s="76" t="str">
        <f aca="false">IF(AND(C18&lt;&gt;"",D18&lt;&gt;"",D18&lt;&gt;0),C18/D18/1000,"")</f>
        <v/>
      </c>
      <c r="F18" s="61"/>
      <c r="G18" s="77" t="str">
        <f aca="false">IF(AND(E18&lt;&gt;"",F18&lt;&gt;""),E18-F18,"")</f>
        <v/>
      </c>
      <c r="H18" s="78" t="str">
        <f aca="false">IF(AND(E18&lt;&gt;"",F18&lt;&gt;"",F18&lt;&gt;0),(E18-F18)/F18,"")</f>
        <v/>
      </c>
      <c r="I18" s="61"/>
      <c r="J18" s="64"/>
      <c r="K18" s="59"/>
      <c r="L18" s="76" t="str">
        <f aca="false">IF(AND(J18&lt;&gt;"",K18&lt;&gt;"",K18&lt;&gt;0),J18/K18,"")</f>
        <v/>
      </c>
      <c r="M18" s="79"/>
      <c r="N18" s="80"/>
      <c r="O18" s="1"/>
    </row>
    <row r="19" customFormat="false" ht="21.75" hidden="false" customHeight="true" outlineLevel="0" collapsed="false">
      <c r="A19" s="56" t="n">
        <v>45716</v>
      </c>
      <c r="B19" s="57" t="s">
        <v>55</v>
      </c>
      <c r="C19" s="58"/>
      <c r="D19" s="59"/>
      <c r="E19" s="60" t="str">
        <f aca="false">IF(AND(C19&lt;&gt;"",D19&lt;&gt;"",D19&lt;&gt;0),C19/D19/1000,"")</f>
        <v/>
      </c>
      <c r="F19" s="61"/>
      <c r="G19" s="62" t="str">
        <f aca="false">IF(AND(E19&lt;&gt;"",F19&lt;&gt;""),E19-F19,"")</f>
        <v/>
      </c>
      <c r="H19" s="63" t="str">
        <f aca="false">IF(AND(E19&lt;&gt;"",F19&lt;&gt;"",F19&lt;&gt;0),(E19-F19)/F19,"")</f>
        <v/>
      </c>
      <c r="I19" s="61"/>
      <c r="J19" s="64"/>
      <c r="K19" s="59"/>
      <c r="L19" s="60" t="str">
        <f aca="false">IF(AND(J19&lt;&gt;"",K19&lt;&gt;"",K19&lt;&gt;0),J19/K19,"")</f>
        <v/>
      </c>
      <c r="M19" s="65"/>
      <c r="N19" s="66"/>
      <c r="O19" s="1"/>
    </row>
    <row r="20" customFormat="false" ht="21.75" hidden="false" customHeight="true" outlineLevel="0" collapsed="false">
      <c r="A20" s="67" t="n">
        <v>45715</v>
      </c>
      <c r="B20" s="68" t="s">
        <v>56</v>
      </c>
      <c r="C20" s="58"/>
      <c r="D20" s="59"/>
      <c r="E20" s="69" t="str">
        <f aca="false">IF(AND(C20&lt;&gt;"",D20&lt;&gt;"",D20&lt;&gt;0),C20/D20/1000,"")</f>
        <v/>
      </c>
      <c r="F20" s="61"/>
      <c r="G20" s="70" t="str">
        <f aca="false">IF(AND(E20&lt;&gt;"",F20&lt;&gt;""),E20-F20,"")</f>
        <v/>
      </c>
      <c r="H20" s="71" t="str">
        <f aca="false">IF(AND(E20&lt;&gt;"",F20&lt;&gt;"",F20&lt;&gt;0),(E20-F20)/F20,"")</f>
        <v/>
      </c>
      <c r="I20" s="61"/>
      <c r="J20" s="64"/>
      <c r="K20" s="59"/>
      <c r="L20" s="69" t="str">
        <f aca="false">IF(AND(J20&lt;&gt;"",K20&lt;&gt;"",K20&lt;&gt;0),J20/K20,"")</f>
        <v/>
      </c>
      <c r="M20" s="72"/>
      <c r="N20" s="73"/>
      <c r="O20" s="1"/>
    </row>
    <row r="21" customFormat="false" ht="21.75" hidden="false" customHeight="true" outlineLevel="0" collapsed="false">
      <c r="A21" s="56" t="n">
        <v>45714</v>
      </c>
      <c r="B21" s="57" t="s">
        <v>57</v>
      </c>
      <c r="C21" s="58"/>
      <c r="D21" s="59"/>
      <c r="E21" s="60" t="str">
        <f aca="false">IF(AND(C21&lt;&gt;"",D21&lt;&gt;"",D21&lt;&gt;0),C21/D21/1000,"")</f>
        <v/>
      </c>
      <c r="F21" s="61"/>
      <c r="G21" s="62" t="str">
        <f aca="false">IF(AND(E21&lt;&gt;"",F21&lt;&gt;""),E21-F21,"")</f>
        <v/>
      </c>
      <c r="H21" s="63" t="str">
        <f aca="false">IF(AND(E21&lt;&gt;"",F21&lt;&gt;"",F21&lt;&gt;0),(E21-F21)/F21,"")</f>
        <v/>
      </c>
      <c r="I21" s="61"/>
      <c r="J21" s="64"/>
      <c r="K21" s="59"/>
      <c r="L21" s="60" t="str">
        <f aca="false">IF(AND(J21&lt;&gt;"",K21&lt;&gt;"",K21&lt;&gt;0),J21/K21,"")</f>
        <v/>
      </c>
      <c r="M21" s="65"/>
      <c r="N21" s="66"/>
      <c r="O21" s="1"/>
    </row>
    <row r="22" customFormat="false" ht="21.75" hidden="false" customHeight="true" outlineLevel="0" collapsed="false">
      <c r="A22" s="67" t="n">
        <v>45713</v>
      </c>
      <c r="B22" s="68" t="s">
        <v>58</v>
      </c>
      <c r="C22" s="58"/>
      <c r="D22" s="59"/>
      <c r="E22" s="69" t="str">
        <f aca="false">IF(AND(C22&lt;&gt;"",D22&lt;&gt;"",D22&lt;&gt;0),C22/D22/1000,"")</f>
        <v/>
      </c>
      <c r="F22" s="61"/>
      <c r="G22" s="70" t="str">
        <f aca="false">IF(AND(E22&lt;&gt;"",F22&lt;&gt;""),E22-F22,"")</f>
        <v/>
      </c>
      <c r="H22" s="71" t="str">
        <f aca="false">IF(AND(E22&lt;&gt;"",F22&lt;&gt;"",F22&lt;&gt;0),(E22-F22)/F22,"")</f>
        <v/>
      </c>
      <c r="I22" s="61"/>
      <c r="J22" s="64"/>
      <c r="K22" s="59"/>
      <c r="L22" s="69" t="str">
        <f aca="false">IF(AND(J22&lt;&gt;"",K22&lt;&gt;"",K22&lt;&gt;0),J22/K22,"")</f>
        <v/>
      </c>
      <c r="M22" s="72"/>
      <c r="N22" s="73"/>
      <c r="O22" s="1"/>
    </row>
    <row r="23" customFormat="false" ht="21.75" hidden="false" customHeight="true" outlineLevel="0" collapsed="false">
      <c r="A23" s="56" t="n">
        <v>45712</v>
      </c>
      <c r="B23" s="57" t="s">
        <v>59</v>
      </c>
      <c r="C23" s="58"/>
      <c r="D23" s="59"/>
      <c r="E23" s="60" t="str">
        <f aca="false">IF(AND(C23&lt;&gt;"",D23&lt;&gt;"",D23&lt;&gt;0),C23/D23/1000,"")</f>
        <v/>
      </c>
      <c r="F23" s="61"/>
      <c r="G23" s="62" t="str">
        <f aca="false">IF(AND(E23&lt;&gt;"",F23&lt;&gt;""),E23-F23,"")</f>
        <v/>
      </c>
      <c r="H23" s="63" t="str">
        <f aca="false">IF(AND(E23&lt;&gt;"",F23&lt;&gt;"",F23&lt;&gt;0),(E23-F23)/F23,"")</f>
        <v/>
      </c>
      <c r="I23" s="61"/>
      <c r="J23" s="64"/>
      <c r="K23" s="59"/>
      <c r="L23" s="60" t="str">
        <f aca="false">IF(AND(J23&lt;&gt;"",K23&lt;&gt;"",K23&lt;&gt;0),J23/K23,"")</f>
        <v/>
      </c>
      <c r="M23" s="65"/>
      <c r="N23" s="66"/>
      <c r="O23" s="1"/>
    </row>
    <row r="24" customFormat="false" ht="21.75" hidden="false" customHeight="true" outlineLevel="0" collapsed="false">
      <c r="A24" s="74" t="n">
        <v>45711</v>
      </c>
      <c r="B24" s="75" t="s">
        <v>60</v>
      </c>
      <c r="C24" s="58"/>
      <c r="D24" s="59"/>
      <c r="E24" s="76" t="str">
        <f aca="false">IF(AND(C24&lt;&gt;"",D24&lt;&gt;"",D24&lt;&gt;0),C24/D24/1000,"")</f>
        <v/>
      </c>
      <c r="F24" s="61"/>
      <c r="G24" s="77" t="str">
        <f aca="false">IF(AND(E24&lt;&gt;"",F24&lt;&gt;""),E24-F24,"")</f>
        <v/>
      </c>
      <c r="H24" s="78" t="str">
        <f aca="false">IF(AND(E24&lt;&gt;"",F24&lt;&gt;"",F24&lt;&gt;0),(E24-F24)/F24,"")</f>
        <v/>
      </c>
      <c r="I24" s="61"/>
      <c r="J24" s="64"/>
      <c r="K24" s="59"/>
      <c r="L24" s="76" t="str">
        <f aca="false">IF(AND(J24&lt;&gt;"",K24&lt;&gt;"",K24&lt;&gt;0),J24/K24,"")</f>
        <v/>
      </c>
      <c r="M24" s="79"/>
      <c r="N24" s="80"/>
      <c r="O24" s="1"/>
    </row>
    <row r="25" customFormat="false" ht="21.75" hidden="false" customHeight="true" outlineLevel="0" collapsed="false">
      <c r="A25" s="74" t="n">
        <v>45710</v>
      </c>
      <c r="B25" s="75" t="s">
        <v>61</v>
      </c>
      <c r="C25" s="58"/>
      <c r="D25" s="59"/>
      <c r="E25" s="76" t="str">
        <f aca="false">IF(AND(C25&lt;&gt;"",D25&lt;&gt;"",D25&lt;&gt;0),C25/D25/1000,"")</f>
        <v/>
      </c>
      <c r="F25" s="61"/>
      <c r="G25" s="77" t="str">
        <f aca="false">IF(AND(E25&lt;&gt;"",F25&lt;&gt;""),E25-F25,"")</f>
        <v/>
      </c>
      <c r="H25" s="78" t="str">
        <f aca="false">IF(AND(E25&lt;&gt;"",F25&lt;&gt;"",F25&lt;&gt;0),(E25-F25)/F25,"")</f>
        <v/>
      </c>
      <c r="I25" s="61"/>
      <c r="J25" s="64"/>
      <c r="K25" s="59"/>
      <c r="L25" s="76" t="str">
        <f aca="false">IF(AND(J25&lt;&gt;"",K25&lt;&gt;"",K25&lt;&gt;0),J25/K25,"")</f>
        <v/>
      </c>
      <c r="M25" s="79"/>
      <c r="N25" s="80"/>
      <c r="O25" s="1"/>
    </row>
    <row r="26" customFormat="false" ht="21.75" hidden="false" customHeight="true" outlineLevel="0" collapsed="false">
      <c r="A26" s="67" t="n">
        <v>45709</v>
      </c>
      <c r="B26" s="68" t="s">
        <v>55</v>
      </c>
      <c r="C26" s="58"/>
      <c r="D26" s="59"/>
      <c r="E26" s="69" t="str">
        <f aca="false">IF(AND(C26&lt;&gt;"",D26&lt;&gt;"",D26&lt;&gt;0),C26/D26/1000,"")</f>
        <v/>
      </c>
      <c r="F26" s="61"/>
      <c r="G26" s="70" t="str">
        <f aca="false">IF(AND(E26&lt;&gt;"",F26&lt;&gt;""),E26-F26,"")</f>
        <v/>
      </c>
      <c r="H26" s="71" t="str">
        <f aca="false">IF(AND(E26&lt;&gt;"",F26&lt;&gt;"",F26&lt;&gt;0),(E26-F26)/F26,"")</f>
        <v/>
      </c>
      <c r="I26" s="61"/>
      <c r="J26" s="64"/>
      <c r="K26" s="59"/>
      <c r="L26" s="69" t="str">
        <f aca="false">IF(AND(J26&lt;&gt;"",K26&lt;&gt;"",K26&lt;&gt;0),J26/K26,"")</f>
        <v/>
      </c>
      <c r="M26" s="72"/>
      <c r="N26" s="73"/>
      <c r="O26" s="1"/>
    </row>
    <row r="27" customFormat="false" ht="21.75" hidden="false" customHeight="true" outlineLevel="0" collapsed="false">
      <c r="A27" s="56" t="n">
        <v>45708</v>
      </c>
      <c r="B27" s="57" t="s">
        <v>56</v>
      </c>
      <c r="C27" s="58"/>
      <c r="D27" s="59"/>
      <c r="E27" s="60" t="str">
        <f aca="false">IF(AND(C27&lt;&gt;"",D27&lt;&gt;"",D27&lt;&gt;0),C27/D27/1000,"")</f>
        <v/>
      </c>
      <c r="F27" s="61"/>
      <c r="G27" s="62" t="str">
        <f aca="false">IF(AND(E27&lt;&gt;"",F27&lt;&gt;""),E27-F27,"")</f>
        <v/>
      </c>
      <c r="H27" s="63" t="str">
        <f aca="false">IF(AND(E27&lt;&gt;"",F27&lt;&gt;"",F27&lt;&gt;0),(E27-F27)/F27,"")</f>
        <v/>
      </c>
      <c r="I27" s="61"/>
      <c r="J27" s="64"/>
      <c r="K27" s="59"/>
      <c r="L27" s="60" t="str">
        <f aca="false">IF(AND(J27&lt;&gt;"",K27&lt;&gt;"",K27&lt;&gt;0),J27/K27,"")</f>
        <v/>
      </c>
      <c r="M27" s="65"/>
      <c r="N27" s="66"/>
      <c r="O27" s="1"/>
    </row>
    <row r="28" customFormat="false" ht="21.75" hidden="false" customHeight="true" outlineLevel="0" collapsed="false">
      <c r="A28" s="67" t="n">
        <v>45707</v>
      </c>
      <c r="B28" s="68" t="s">
        <v>57</v>
      </c>
      <c r="C28" s="58"/>
      <c r="D28" s="59"/>
      <c r="E28" s="69" t="str">
        <f aca="false">IF(AND(C28&lt;&gt;"",D28&lt;&gt;"",D28&lt;&gt;0),C28/D28/1000,"")</f>
        <v/>
      </c>
      <c r="F28" s="61"/>
      <c r="G28" s="70" t="str">
        <f aca="false">IF(AND(E28&lt;&gt;"",F28&lt;&gt;""),E28-F28,"")</f>
        <v/>
      </c>
      <c r="H28" s="71" t="str">
        <f aca="false">IF(AND(E28&lt;&gt;"",F28&lt;&gt;"",F28&lt;&gt;0),(E28-F28)/F28,"")</f>
        <v/>
      </c>
      <c r="I28" s="61"/>
      <c r="J28" s="64"/>
      <c r="K28" s="59"/>
      <c r="L28" s="69" t="str">
        <f aca="false">IF(AND(J28&lt;&gt;"",K28&lt;&gt;"",K28&lt;&gt;0),J28/K28,"")</f>
        <v/>
      </c>
      <c r="M28" s="72"/>
      <c r="N28" s="73"/>
      <c r="O28" s="1"/>
    </row>
    <row r="29" customFormat="false" ht="21.75" hidden="false" customHeight="true" outlineLevel="0" collapsed="false">
      <c r="A29" s="56" t="n">
        <v>45706</v>
      </c>
      <c r="B29" s="57" t="s">
        <v>58</v>
      </c>
      <c r="C29" s="58"/>
      <c r="D29" s="59"/>
      <c r="E29" s="60" t="str">
        <f aca="false">IF(AND(C29&lt;&gt;"",D29&lt;&gt;"",D29&lt;&gt;0),C29/D29/1000,"")</f>
        <v/>
      </c>
      <c r="F29" s="61"/>
      <c r="G29" s="62" t="str">
        <f aca="false">IF(AND(E29&lt;&gt;"",F29&lt;&gt;""),E29-F29,"")</f>
        <v/>
      </c>
      <c r="H29" s="63" t="str">
        <f aca="false">IF(AND(E29&lt;&gt;"",F29&lt;&gt;"",F29&lt;&gt;0),(E29-F29)/F29,"")</f>
        <v/>
      </c>
      <c r="I29" s="61"/>
      <c r="J29" s="64"/>
      <c r="K29" s="59"/>
      <c r="L29" s="60" t="str">
        <f aca="false">IF(AND(J29&lt;&gt;"",K29&lt;&gt;"",K29&lt;&gt;0),J29/K29,"")</f>
        <v/>
      </c>
      <c r="M29" s="65"/>
      <c r="N29" s="66"/>
      <c r="O29" s="1"/>
    </row>
    <row r="30" customFormat="false" ht="21.75" hidden="false" customHeight="true" outlineLevel="0" collapsed="false">
      <c r="A30" s="67" t="n">
        <v>45705</v>
      </c>
      <c r="B30" s="68" t="s">
        <v>59</v>
      </c>
      <c r="C30" s="58"/>
      <c r="D30" s="59"/>
      <c r="E30" s="69" t="str">
        <f aca="false">IF(AND(C30&lt;&gt;"",D30&lt;&gt;"",D30&lt;&gt;0),C30/D30/1000,"")</f>
        <v/>
      </c>
      <c r="F30" s="61"/>
      <c r="G30" s="70" t="str">
        <f aca="false">IF(AND(E30&lt;&gt;"",F30&lt;&gt;""),E30-F30,"")</f>
        <v/>
      </c>
      <c r="H30" s="71" t="str">
        <f aca="false">IF(AND(E30&lt;&gt;"",F30&lt;&gt;"",F30&lt;&gt;0),(E30-F30)/F30,"")</f>
        <v/>
      </c>
      <c r="I30" s="61"/>
      <c r="J30" s="64"/>
      <c r="K30" s="59"/>
      <c r="L30" s="69" t="str">
        <f aca="false">IF(AND(J30&lt;&gt;"",K30&lt;&gt;"",K30&lt;&gt;0),J30/K30,"")</f>
        <v/>
      </c>
      <c r="M30" s="72"/>
      <c r="N30" s="73"/>
      <c r="O30" s="1"/>
    </row>
    <row r="31" customFormat="false" ht="21.75" hidden="false" customHeight="true" outlineLevel="0" collapsed="false">
      <c r="A31" s="74" t="n">
        <v>45704</v>
      </c>
      <c r="B31" s="75" t="s">
        <v>60</v>
      </c>
      <c r="C31" s="58"/>
      <c r="D31" s="59"/>
      <c r="E31" s="76" t="str">
        <f aca="false">IF(AND(C31&lt;&gt;"",D31&lt;&gt;"",D31&lt;&gt;0),C31/D31/1000,"")</f>
        <v/>
      </c>
      <c r="F31" s="61"/>
      <c r="G31" s="77" t="str">
        <f aca="false">IF(AND(E31&lt;&gt;"",F31&lt;&gt;""),E31-F31,"")</f>
        <v/>
      </c>
      <c r="H31" s="78" t="str">
        <f aca="false">IF(AND(E31&lt;&gt;"",F31&lt;&gt;"",F31&lt;&gt;0),(E31-F31)/F31,"")</f>
        <v/>
      </c>
      <c r="I31" s="61"/>
      <c r="J31" s="64"/>
      <c r="K31" s="59"/>
      <c r="L31" s="76" t="str">
        <f aca="false">IF(AND(J31&lt;&gt;"",K31&lt;&gt;"",K31&lt;&gt;0),J31/K31,"")</f>
        <v/>
      </c>
      <c r="M31" s="79"/>
      <c r="N31" s="80"/>
      <c r="O31" s="1"/>
    </row>
    <row r="32" customFormat="false" ht="21.75" hidden="false" customHeight="true" outlineLevel="0" collapsed="false">
      <c r="A32" s="74" t="n">
        <v>45703</v>
      </c>
      <c r="B32" s="75" t="s">
        <v>61</v>
      </c>
      <c r="C32" s="58"/>
      <c r="D32" s="59"/>
      <c r="E32" s="76" t="str">
        <f aca="false">IF(AND(C32&lt;&gt;"",D32&lt;&gt;"",D32&lt;&gt;0),C32/D32/1000,"")</f>
        <v/>
      </c>
      <c r="F32" s="61"/>
      <c r="G32" s="77" t="str">
        <f aca="false">IF(AND(E32&lt;&gt;"",F32&lt;&gt;""),E32-F32,"")</f>
        <v/>
      </c>
      <c r="H32" s="78" t="str">
        <f aca="false">IF(AND(E32&lt;&gt;"",F32&lt;&gt;"",F32&lt;&gt;0),(E32-F32)/F32,"")</f>
        <v/>
      </c>
      <c r="I32" s="61"/>
      <c r="J32" s="64"/>
      <c r="K32" s="59"/>
      <c r="L32" s="76" t="str">
        <f aca="false">IF(AND(J32&lt;&gt;"",K32&lt;&gt;"",K32&lt;&gt;0),J32/K32,"")</f>
        <v/>
      </c>
      <c r="M32" s="79"/>
      <c r="N32" s="80"/>
      <c r="O32" s="1"/>
    </row>
    <row r="33" customFormat="false" ht="21.75" hidden="false" customHeight="true" outlineLevel="0" collapsed="false">
      <c r="A33" s="56" t="n">
        <v>45702</v>
      </c>
      <c r="B33" s="57" t="s">
        <v>55</v>
      </c>
      <c r="C33" s="58"/>
      <c r="D33" s="59"/>
      <c r="E33" s="60" t="str">
        <f aca="false">IF(AND(C33&lt;&gt;"",D33&lt;&gt;"",D33&lt;&gt;0),C33/D33/1000,"")</f>
        <v/>
      </c>
      <c r="F33" s="61"/>
      <c r="G33" s="62" t="str">
        <f aca="false">IF(AND(E33&lt;&gt;"",F33&lt;&gt;""),E33-F33,"")</f>
        <v/>
      </c>
      <c r="H33" s="63" t="str">
        <f aca="false">IF(AND(E33&lt;&gt;"",F33&lt;&gt;"",F33&lt;&gt;0),(E33-F33)/F33,"")</f>
        <v/>
      </c>
      <c r="I33" s="61"/>
      <c r="J33" s="64"/>
      <c r="K33" s="59"/>
      <c r="L33" s="60" t="str">
        <f aca="false">IF(AND(J33&lt;&gt;"",K33&lt;&gt;"",K33&lt;&gt;0),J33/K33,"")</f>
        <v/>
      </c>
      <c r="M33" s="65"/>
      <c r="N33" s="66"/>
      <c r="O33" s="1"/>
    </row>
    <row r="34" customFormat="false" ht="21.75" hidden="false" customHeight="true" outlineLevel="0" collapsed="false">
      <c r="A34" s="67" t="n">
        <v>45701</v>
      </c>
      <c r="B34" s="68" t="s">
        <v>56</v>
      </c>
      <c r="C34" s="58"/>
      <c r="D34" s="59"/>
      <c r="E34" s="69" t="str">
        <f aca="false">IF(AND(C34&lt;&gt;"",D34&lt;&gt;"",D34&lt;&gt;0),C34/D34/1000,"")</f>
        <v/>
      </c>
      <c r="F34" s="61"/>
      <c r="G34" s="70" t="str">
        <f aca="false">IF(AND(E34&lt;&gt;"",F34&lt;&gt;""),E34-F34,"")</f>
        <v/>
      </c>
      <c r="H34" s="71" t="str">
        <f aca="false">IF(AND(E34&lt;&gt;"",F34&lt;&gt;"",F34&lt;&gt;0),(E34-F34)/F34,"")</f>
        <v/>
      </c>
      <c r="I34" s="61"/>
      <c r="J34" s="64"/>
      <c r="K34" s="59"/>
      <c r="L34" s="69" t="str">
        <f aca="false">IF(AND(J34&lt;&gt;"",K34&lt;&gt;"",K34&lt;&gt;0),J34/K34,"")</f>
        <v/>
      </c>
      <c r="M34" s="72"/>
      <c r="N34" s="73"/>
      <c r="O34" s="1"/>
    </row>
    <row r="35" customFormat="false" ht="21.75" hidden="false" customHeight="true" outlineLevel="0" collapsed="false">
      <c r="A35" s="56" t="n">
        <v>45700</v>
      </c>
      <c r="B35" s="57" t="s">
        <v>57</v>
      </c>
      <c r="C35" s="58"/>
      <c r="D35" s="59"/>
      <c r="E35" s="60" t="str">
        <f aca="false">IF(AND(C35&lt;&gt;"",D35&lt;&gt;"",D35&lt;&gt;0),C35/D35/1000,"")</f>
        <v/>
      </c>
      <c r="F35" s="61"/>
      <c r="G35" s="62" t="str">
        <f aca="false">IF(AND(E35&lt;&gt;"",F35&lt;&gt;""),E35-F35,"")</f>
        <v/>
      </c>
      <c r="H35" s="63" t="str">
        <f aca="false">IF(AND(E35&lt;&gt;"",F35&lt;&gt;"",F35&lt;&gt;0),(E35-F35)/F35,"")</f>
        <v/>
      </c>
      <c r="I35" s="61"/>
      <c r="J35" s="64"/>
      <c r="K35" s="59"/>
      <c r="L35" s="60" t="str">
        <f aca="false">IF(AND(J35&lt;&gt;"",K35&lt;&gt;"",K35&lt;&gt;0),J35/K35,"")</f>
        <v/>
      </c>
      <c r="M35" s="65"/>
      <c r="N35" s="66"/>
      <c r="O35" s="1"/>
    </row>
    <row r="36" customFormat="false" ht="21.75" hidden="false" customHeight="true" outlineLevel="0" collapsed="false">
      <c r="A36" s="67" t="n">
        <v>45699</v>
      </c>
      <c r="B36" s="68" t="s">
        <v>58</v>
      </c>
      <c r="C36" s="58"/>
      <c r="D36" s="59"/>
      <c r="E36" s="69" t="str">
        <f aca="false">IF(AND(C36&lt;&gt;"",D36&lt;&gt;"",D36&lt;&gt;0),C36/D36/1000,"")</f>
        <v/>
      </c>
      <c r="F36" s="61"/>
      <c r="G36" s="70" t="str">
        <f aca="false">IF(AND(E36&lt;&gt;"",F36&lt;&gt;""),E36-F36,"")</f>
        <v/>
      </c>
      <c r="H36" s="71" t="str">
        <f aca="false">IF(AND(E36&lt;&gt;"",F36&lt;&gt;"",F36&lt;&gt;0),(E36-F36)/F36,"")</f>
        <v/>
      </c>
      <c r="I36" s="61"/>
      <c r="J36" s="64"/>
      <c r="K36" s="59"/>
      <c r="L36" s="69" t="str">
        <f aca="false">IF(AND(J36&lt;&gt;"",K36&lt;&gt;"",K36&lt;&gt;0),J36/K36,"")</f>
        <v/>
      </c>
      <c r="M36" s="72"/>
      <c r="N36" s="73"/>
      <c r="O36" s="1"/>
    </row>
    <row r="37" customFormat="false" ht="21.75" hidden="false" customHeight="true" outlineLevel="0" collapsed="false">
      <c r="A37" s="56" t="n">
        <v>45698</v>
      </c>
      <c r="B37" s="57" t="s">
        <v>59</v>
      </c>
      <c r="C37" s="58"/>
      <c r="D37" s="59"/>
      <c r="E37" s="60" t="str">
        <f aca="false">IF(AND(C37&lt;&gt;"",D37&lt;&gt;"",D37&lt;&gt;0),C37/D37/1000,"")</f>
        <v/>
      </c>
      <c r="F37" s="61"/>
      <c r="G37" s="62" t="str">
        <f aca="false">IF(AND(E37&lt;&gt;"",F37&lt;&gt;""),E37-F37,"")</f>
        <v/>
      </c>
      <c r="H37" s="63" t="str">
        <f aca="false">IF(AND(E37&lt;&gt;"",F37&lt;&gt;"",F37&lt;&gt;0),(E37-F37)/F37,"")</f>
        <v/>
      </c>
      <c r="I37" s="61"/>
      <c r="J37" s="64"/>
      <c r="K37" s="59"/>
      <c r="L37" s="60" t="str">
        <f aca="false">IF(AND(J37&lt;&gt;"",K37&lt;&gt;"",K37&lt;&gt;0),J37/K37,"")</f>
        <v/>
      </c>
      <c r="M37" s="65"/>
      <c r="N37" s="66"/>
      <c r="O37" s="1"/>
    </row>
    <row r="38" customFormat="false" ht="21.75" hidden="false" customHeight="true" outlineLevel="0" collapsed="false">
      <c r="A38" s="74" t="n">
        <v>45697</v>
      </c>
      <c r="B38" s="75" t="s">
        <v>60</v>
      </c>
      <c r="C38" s="58"/>
      <c r="D38" s="59"/>
      <c r="E38" s="76" t="str">
        <f aca="false">IF(AND(C38&lt;&gt;"",D38&lt;&gt;"",D38&lt;&gt;0),C38/D38/1000,"")</f>
        <v/>
      </c>
      <c r="F38" s="61"/>
      <c r="G38" s="77" t="str">
        <f aca="false">IF(AND(E38&lt;&gt;"",F38&lt;&gt;""),E38-F38,"")</f>
        <v/>
      </c>
      <c r="H38" s="78" t="str">
        <f aca="false">IF(AND(E38&lt;&gt;"",F38&lt;&gt;"",F38&lt;&gt;0),(E38-F38)/F38,"")</f>
        <v/>
      </c>
      <c r="I38" s="61"/>
      <c r="J38" s="64"/>
      <c r="K38" s="59"/>
      <c r="L38" s="76" t="str">
        <f aca="false">IF(AND(J38&lt;&gt;"",K38&lt;&gt;"",K38&lt;&gt;0),J38/K38,"")</f>
        <v/>
      </c>
      <c r="M38" s="79"/>
      <c r="N38" s="80"/>
      <c r="O38" s="1"/>
    </row>
    <row r="39" customFormat="false" ht="21.75" hidden="false" customHeight="true" outlineLevel="0" collapsed="false">
      <c r="A39" s="74" t="n">
        <v>45696</v>
      </c>
      <c r="B39" s="75" t="s">
        <v>61</v>
      </c>
      <c r="C39" s="58"/>
      <c r="D39" s="59"/>
      <c r="E39" s="76" t="str">
        <f aca="false">IF(AND(C39&lt;&gt;"",D39&lt;&gt;"",D39&lt;&gt;0),C39/D39/1000,"")</f>
        <v/>
      </c>
      <c r="F39" s="61"/>
      <c r="G39" s="77" t="str">
        <f aca="false">IF(AND(E39&lt;&gt;"",F39&lt;&gt;""),E39-F39,"")</f>
        <v/>
      </c>
      <c r="H39" s="78" t="str">
        <f aca="false">IF(AND(E39&lt;&gt;"",F39&lt;&gt;"",F39&lt;&gt;0),(E39-F39)/F39,"")</f>
        <v/>
      </c>
      <c r="I39" s="61"/>
      <c r="J39" s="64"/>
      <c r="K39" s="59"/>
      <c r="L39" s="76" t="str">
        <f aca="false">IF(AND(J39&lt;&gt;"",K39&lt;&gt;"",K39&lt;&gt;0),J39/K39,"")</f>
        <v/>
      </c>
      <c r="M39" s="79"/>
      <c r="N39" s="80"/>
      <c r="O39" s="1"/>
    </row>
    <row r="40" customFormat="false" ht="21.75" hidden="false" customHeight="true" outlineLevel="0" collapsed="false">
      <c r="A40" s="67" t="n">
        <v>45695</v>
      </c>
      <c r="B40" s="68" t="s">
        <v>55</v>
      </c>
      <c r="C40" s="58"/>
      <c r="D40" s="59"/>
      <c r="E40" s="69" t="str">
        <f aca="false">IF(AND(C40&lt;&gt;"",D40&lt;&gt;"",D40&lt;&gt;0),C40/D40/1000,"")</f>
        <v/>
      </c>
      <c r="F40" s="61"/>
      <c r="G40" s="70" t="str">
        <f aca="false">IF(AND(E40&lt;&gt;"",F40&lt;&gt;""),E40-F40,"")</f>
        <v/>
      </c>
      <c r="H40" s="71" t="str">
        <f aca="false">IF(AND(E40&lt;&gt;"",F40&lt;&gt;"",F40&lt;&gt;0),(E40-F40)/F40,"")</f>
        <v/>
      </c>
      <c r="I40" s="61"/>
      <c r="J40" s="64"/>
      <c r="K40" s="59"/>
      <c r="L40" s="69" t="str">
        <f aca="false">IF(AND(J40&lt;&gt;"",K40&lt;&gt;"",K40&lt;&gt;0),J40/K40,"")</f>
        <v/>
      </c>
      <c r="M40" s="72"/>
      <c r="N40" s="73"/>
      <c r="O40" s="1"/>
    </row>
    <row r="41" customFormat="false" ht="21.75" hidden="false" customHeight="true" outlineLevel="0" collapsed="false">
      <c r="A41" s="56" t="n">
        <v>45694</v>
      </c>
      <c r="B41" s="57" t="s">
        <v>56</v>
      </c>
      <c r="C41" s="58"/>
      <c r="D41" s="59"/>
      <c r="E41" s="60" t="str">
        <f aca="false">IF(AND(C41&lt;&gt;"",D41&lt;&gt;"",D41&lt;&gt;0),C41/D41/1000,"")</f>
        <v/>
      </c>
      <c r="F41" s="61"/>
      <c r="G41" s="62" t="str">
        <f aca="false">IF(AND(E41&lt;&gt;"",F41&lt;&gt;""),E41-F41,"")</f>
        <v/>
      </c>
      <c r="H41" s="63" t="str">
        <f aca="false">IF(AND(E41&lt;&gt;"",F41&lt;&gt;"",F41&lt;&gt;0),(E41-F41)/F41,"")</f>
        <v/>
      </c>
      <c r="I41" s="61"/>
      <c r="J41" s="64"/>
      <c r="K41" s="59"/>
      <c r="L41" s="60" t="str">
        <f aca="false">IF(AND(J41&lt;&gt;"",K41&lt;&gt;"",K41&lt;&gt;0),J41/K41,"")</f>
        <v/>
      </c>
      <c r="M41" s="65"/>
      <c r="N41" s="66"/>
      <c r="O41" s="1"/>
    </row>
    <row r="42" customFormat="false" ht="21.75" hidden="false" customHeight="true" outlineLevel="0" collapsed="false">
      <c r="A42" s="67" t="n">
        <v>45693</v>
      </c>
      <c r="B42" s="68" t="s">
        <v>57</v>
      </c>
      <c r="C42" s="58"/>
      <c r="D42" s="59"/>
      <c r="E42" s="69" t="str">
        <f aca="false">IF(AND(C42&lt;&gt;"",D42&lt;&gt;"",D42&lt;&gt;0),C42/D42/1000,"")</f>
        <v/>
      </c>
      <c r="F42" s="61"/>
      <c r="G42" s="70" t="str">
        <f aca="false">IF(AND(E42&lt;&gt;"",F42&lt;&gt;""),E42-F42,"")</f>
        <v/>
      </c>
      <c r="H42" s="71" t="str">
        <f aca="false">IF(AND(E42&lt;&gt;"",F42&lt;&gt;"",F42&lt;&gt;0),(E42-F42)/F42,"")</f>
        <v/>
      </c>
      <c r="I42" s="61"/>
      <c r="J42" s="64"/>
      <c r="K42" s="59"/>
      <c r="L42" s="69" t="str">
        <f aca="false">IF(AND(J42&lt;&gt;"",K42&lt;&gt;"",K42&lt;&gt;0),J42/K42,"")</f>
        <v/>
      </c>
      <c r="M42" s="72"/>
      <c r="N42" s="73"/>
      <c r="O42" s="1"/>
    </row>
    <row r="43" customFormat="false" ht="21.75" hidden="false" customHeight="true" outlineLevel="0" collapsed="false">
      <c r="A43" s="56" t="n">
        <v>45692</v>
      </c>
      <c r="B43" s="57" t="s">
        <v>58</v>
      </c>
      <c r="C43" s="58"/>
      <c r="D43" s="59"/>
      <c r="E43" s="60" t="str">
        <f aca="false">IF(AND(C43&lt;&gt;"",D43&lt;&gt;"",D43&lt;&gt;0),C43/D43/1000,"")</f>
        <v/>
      </c>
      <c r="F43" s="61"/>
      <c r="G43" s="62" t="str">
        <f aca="false">IF(AND(E43&lt;&gt;"",F43&lt;&gt;""),E43-F43,"")</f>
        <v/>
      </c>
      <c r="H43" s="63" t="str">
        <f aca="false">IF(AND(E43&lt;&gt;"",F43&lt;&gt;"",F43&lt;&gt;0),(E43-F43)/F43,"")</f>
        <v/>
      </c>
      <c r="I43" s="61"/>
      <c r="J43" s="64"/>
      <c r="K43" s="59"/>
      <c r="L43" s="60" t="str">
        <f aca="false">IF(AND(J43&lt;&gt;"",K43&lt;&gt;"",K43&lt;&gt;0),J43/K43,"")</f>
        <v/>
      </c>
      <c r="M43" s="65"/>
      <c r="N43" s="66"/>
      <c r="O43" s="1"/>
    </row>
    <row r="44" customFormat="false" ht="21.75" hidden="false" customHeight="true" outlineLevel="0" collapsed="false">
      <c r="A44" s="67" t="n">
        <v>45691</v>
      </c>
      <c r="B44" s="68" t="s">
        <v>59</v>
      </c>
      <c r="C44" s="58"/>
      <c r="D44" s="59"/>
      <c r="E44" s="69" t="str">
        <f aca="false">IF(AND(C44&lt;&gt;"",D44&lt;&gt;"",D44&lt;&gt;0),C44/D44/1000,"")</f>
        <v/>
      </c>
      <c r="F44" s="61"/>
      <c r="G44" s="70" t="str">
        <f aca="false">IF(AND(E44&lt;&gt;"",F44&lt;&gt;""),E44-F44,"")</f>
        <v/>
      </c>
      <c r="H44" s="71" t="str">
        <f aca="false">IF(AND(E44&lt;&gt;"",F44&lt;&gt;"",F44&lt;&gt;0),(E44-F44)/F44,"")</f>
        <v/>
      </c>
      <c r="I44" s="61"/>
      <c r="J44" s="64"/>
      <c r="K44" s="59"/>
      <c r="L44" s="69" t="str">
        <f aca="false">IF(AND(J44&lt;&gt;"",K44&lt;&gt;"",K44&lt;&gt;0),J44/K44,"")</f>
        <v/>
      </c>
      <c r="M44" s="72"/>
      <c r="N44" s="73"/>
      <c r="O44" s="1"/>
    </row>
    <row r="45" customFormat="false" ht="21.75" hidden="false" customHeight="true" outlineLevel="0" collapsed="false">
      <c r="A45" s="74" t="n">
        <v>45690</v>
      </c>
      <c r="B45" s="75" t="s">
        <v>60</v>
      </c>
      <c r="C45" s="58"/>
      <c r="D45" s="59"/>
      <c r="E45" s="76" t="str">
        <f aca="false">IF(AND(C45&lt;&gt;"",D45&lt;&gt;"",D45&lt;&gt;0),C45/D45/1000,"")</f>
        <v/>
      </c>
      <c r="F45" s="61"/>
      <c r="G45" s="77" t="str">
        <f aca="false">IF(AND(E45&lt;&gt;"",F45&lt;&gt;""),E45-F45,"")</f>
        <v/>
      </c>
      <c r="H45" s="78" t="str">
        <f aca="false">IF(AND(E45&lt;&gt;"",F45&lt;&gt;"",F45&lt;&gt;0),(E45-F45)/F45,"")</f>
        <v/>
      </c>
      <c r="I45" s="61"/>
      <c r="J45" s="64"/>
      <c r="K45" s="59"/>
      <c r="L45" s="76" t="str">
        <f aca="false">IF(AND(J45&lt;&gt;"",K45&lt;&gt;"",K45&lt;&gt;0),J45/K45,"")</f>
        <v/>
      </c>
      <c r="M45" s="79"/>
      <c r="N45" s="80"/>
      <c r="O45" s="1"/>
    </row>
    <row r="46" customFormat="false" ht="21.75" hidden="false" customHeight="true" outlineLevel="0" collapsed="false">
      <c r="A46" s="74" t="n">
        <v>45689</v>
      </c>
      <c r="B46" s="75" t="s">
        <v>61</v>
      </c>
      <c r="C46" s="58"/>
      <c r="D46" s="59"/>
      <c r="E46" s="76" t="str">
        <f aca="false">IF(AND(C46&lt;&gt;"",D46&lt;&gt;"",D46&lt;&gt;0),C46/D46/1000,"")</f>
        <v/>
      </c>
      <c r="F46" s="61"/>
      <c r="G46" s="77" t="str">
        <f aca="false">IF(AND(E46&lt;&gt;"",F46&lt;&gt;""),E46-F46,"")</f>
        <v/>
      </c>
      <c r="H46" s="78" t="str">
        <f aca="false">IF(AND(E46&lt;&gt;"",F46&lt;&gt;"",F46&lt;&gt;0),(E46-F46)/F46,"")</f>
        <v/>
      </c>
      <c r="I46" s="61"/>
      <c r="J46" s="64"/>
      <c r="K46" s="59"/>
      <c r="L46" s="76" t="str">
        <f aca="false">IF(AND(J46&lt;&gt;"",K46&lt;&gt;"",K46&lt;&gt;0),J46/K46,"")</f>
        <v/>
      </c>
      <c r="M46" s="79"/>
      <c r="N46" s="80"/>
      <c r="O46" s="1"/>
    </row>
    <row r="47" customFormat="false" ht="21.75" hidden="false" customHeight="true" outlineLevel="0" collapsed="false">
      <c r="A47" s="56" t="n">
        <v>45688</v>
      </c>
      <c r="B47" s="57" t="s">
        <v>55</v>
      </c>
      <c r="C47" s="58"/>
      <c r="D47" s="59"/>
      <c r="E47" s="60" t="str">
        <f aca="false">IF(AND(C47&lt;&gt;"",D47&lt;&gt;"",D47&lt;&gt;0),C47/D47/1000,"")</f>
        <v/>
      </c>
      <c r="F47" s="61"/>
      <c r="G47" s="62" t="str">
        <f aca="false">IF(AND(E47&lt;&gt;"",F47&lt;&gt;""),E47-F47,"")</f>
        <v/>
      </c>
      <c r="H47" s="63" t="str">
        <f aca="false">IF(AND(E47&lt;&gt;"",F47&lt;&gt;"",F47&lt;&gt;0),(E47-F47)/F47,"")</f>
        <v/>
      </c>
      <c r="I47" s="61"/>
      <c r="J47" s="64"/>
      <c r="K47" s="59"/>
      <c r="L47" s="60" t="str">
        <f aca="false">IF(AND(J47&lt;&gt;"",K47&lt;&gt;"",K47&lt;&gt;0),J47/K47,"")</f>
        <v/>
      </c>
      <c r="M47" s="65"/>
      <c r="N47" s="66"/>
      <c r="O47" s="1"/>
    </row>
    <row r="48" customFormat="false" ht="21.75" hidden="false" customHeight="true" outlineLevel="0" collapsed="false">
      <c r="A48" s="67" t="n">
        <v>45687</v>
      </c>
      <c r="B48" s="68" t="s">
        <v>56</v>
      </c>
      <c r="C48" s="58"/>
      <c r="D48" s="59"/>
      <c r="E48" s="69" t="str">
        <f aca="false">IF(AND(C48&lt;&gt;"",D48&lt;&gt;"",D48&lt;&gt;0),C48/D48/1000,"")</f>
        <v/>
      </c>
      <c r="F48" s="61"/>
      <c r="G48" s="70" t="str">
        <f aca="false">IF(AND(E48&lt;&gt;"",F48&lt;&gt;""),E48-F48,"")</f>
        <v/>
      </c>
      <c r="H48" s="71" t="str">
        <f aca="false">IF(AND(E48&lt;&gt;"",F48&lt;&gt;"",F48&lt;&gt;0),(E48-F48)/F48,"")</f>
        <v/>
      </c>
      <c r="I48" s="61"/>
      <c r="J48" s="64"/>
      <c r="K48" s="59"/>
      <c r="L48" s="69" t="str">
        <f aca="false">IF(AND(J48&lt;&gt;"",K48&lt;&gt;"",K48&lt;&gt;0),J48/K48,"")</f>
        <v/>
      </c>
      <c r="M48" s="72"/>
      <c r="N48" s="73"/>
      <c r="O48" s="1"/>
    </row>
    <row r="49" customFormat="false" ht="21.75" hidden="false" customHeight="true" outlineLevel="0" collapsed="false">
      <c r="A49" s="56" t="n">
        <v>45686</v>
      </c>
      <c r="B49" s="57" t="s">
        <v>57</v>
      </c>
      <c r="C49" s="58"/>
      <c r="D49" s="59"/>
      <c r="E49" s="60" t="str">
        <f aca="false">IF(AND(C49&lt;&gt;"",D49&lt;&gt;"",D49&lt;&gt;0),C49/D49/1000,"")</f>
        <v/>
      </c>
      <c r="F49" s="61"/>
      <c r="G49" s="62" t="str">
        <f aca="false">IF(AND(E49&lt;&gt;"",F49&lt;&gt;""),E49-F49,"")</f>
        <v/>
      </c>
      <c r="H49" s="63" t="str">
        <f aca="false">IF(AND(E49&lt;&gt;"",F49&lt;&gt;"",F49&lt;&gt;0),(E49-F49)/F49,"")</f>
        <v/>
      </c>
      <c r="I49" s="61"/>
      <c r="J49" s="64"/>
      <c r="K49" s="59"/>
      <c r="L49" s="60" t="str">
        <f aca="false">IF(AND(J49&lt;&gt;"",K49&lt;&gt;"",K49&lt;&gt;0),J49/K49,"")</f>
        <v/>
      </c>
      <c r="M49" s="65"/>
      <c r="N49" s="66"/>
      <c r="O49" s="1"/>
    </row>
    <row r="50" customFormat="false" ht="21.75" hidden="false" customHeight="true" outlineLevel="0" collapsed="false">
      <c r="A50" s="67" t="n">
        <v>45685</v>
      </c>
      <c r="B50" s="68" t="s">
        <v>58</v>
      </c>
      <c r="C50" s="58"/>
      <c r="D50" s="59"/>
      <c r="E50" s="69" t="str">
        <f aca="false">IF(AND(C50&lt;&gt;"",D50&lt;&gt;"",D50&lt;&gt;0),C50/D50/1000,"")</f>
        <v/>
      </c>
      <c r="F50" s="61"/>
      <c r="G50" s="70" t="str">
        <f aca="false">IF(AND(E50&lt;&gt;"",F50&lt;&gt;""),E50-F50,"")</f>
        <v/>
      </c>
      <c r="H50" s="71" t="str">
        <f aca="false">IF(AND(E50&lt;&gt;"",F50&lt;&gt;"",F50&lt;&gt;0),(E50-F50)/F50,"")</f>
        <v/>
      </c>
      <c r="I50" s="61"/>
      <c r="J50" s="64"/>
      <c r="K50" s="59"/>
      <c r="L50" s="69" t="str">
        <f aca="false">IF(AND(J50&lt;&gt;"",K50&lt;&gt;"",K50&lt;&gt;0),J50/K50,"")</f>
        <v/>
      </c>
      <c r="M50" s="72"/>
      <c r="N50" s="73"/>
      <c r="O50" s="1"/>
    </row>
    <row r="51" customFormat="false" ht="21.75" hidden="false" customHeight="true" outlineLevel="0" collapsed="false">
      <c r="A51" s="56" t="n">
        <v>45684</v>
      </c>
      <c r="B51" s="57" t="s">
        <v>59</v>
      </c>
      <c r="C51" s="58"/>
      <c r="D51" s="59"/>
      <c r="E51" s="60" t="str">
        <f aca="false">IF(AND(C51&lt;&gt;"",D51&lt;&gt;"",D51&lt;&gt;0),C51/D51/1000,"")</f>
        <v/>
      </c>
      <c r="F51" s="61"/>
      <c r="G51" s="62" t="str">
        <f aca="false">IF(AND(E51&lt;&gt;"",F51&lt;&gt;""),E51-F51,"")</f>
        <v/>
      </c>
      <c r="H51" s="63" t="str">
        <f aca="false">IF(AND(E51&lt;&gt;"",F51&lt;&gt;"",F51&lt;&gt;0),(E51-F51)/F51,"")</f>
        <v/>
      </c>
      <c r="I51" s="61"/>
      <c r="J51" s="64"/>
      <c r="K51" s="59"/>
      <c r="L51" s="60" t="str">
        <f aca="false">IF(AND(J51&lt;&gt;"",K51&lt;&gt;"",K51&lt;&gt;0),J51/K51,"")</f>
        <v/>
      </c>
      <c r="M51" s="65"/>
      <c r="N51" s="66"/>
      <c r="O51" s="1"/>
    </row>
    <row r="52" customFormat="false" ht="21.75" hidden="false" customHeight="true" outlineLevel="0" collapsed="false">
      <c r="A52" s="74" t="n">
        <v>45683</v>
      </c>
      <c r="B52" s="75" t="s">
        <v>60</v>
      </c>
      <c r="C52" s="58"/>
      <c r="D52" s="59"/>
      <c r="E52" s="76" t="str">
        <f aca="false">IF(AND(C52&lt;&gt;"",D52&lt;&gt;"",D52&lt;&gt;0),C52/D52/1000,"")</f>
        <v/>
      </c>
      <c r="F52" s="61"/>
      <c r="G52" s="77" t="str">
        <f aca="false">IF(AND(E52&lt;&gt;"",F52&lt;&gt;""),E52-F52,"")</f>
        <v/>
      </c>
      <c r="H52" s="78" t="str">
        <f aca="false">IF(AND(E52&lt;&gt;"",F52&lt;&gt;"",F52&lt;&gt;0),(E52-F52)/F52,"")</f>
        <v/>
      </c>
      <c r="I52" s="61"/>
      <c r="J52" s="64"/>
      <c r="K52" s="59"/>
      <c r="L52" s="76" t="str">
        <f aca="false">IF(AND(J52&lt;&gt;"",K52&lt;&gt;"",K52&lt;&gt;0),J52/K52,"")</f>
        <v/>
      </c>
      <c r="M52" s="79"/>
      <c r="N52" s="80"/>
      <c r="O52" s="1"/>
    </row>
    <row r="53" customFormat="false" ht="21.75" hidden="false" customHeight="true" outlineLevel="0" collapsed="false">
      <c r="A53" s="74" t="n">
        <v>45682</v>
      </c>
      <c r="B53" s="75" t="s">
        <v>61</v>
      </c>
      <c r="C53" s="58"/>
      <c r="D53" s="59"/>
      <c r="E53" s="76" t="str">
        <f aca="false">IF(AND(C53&lt;&gt;"",D53&lt;&gt;"",D53&lt;&gt;0),C53/D53/1000,"")</f>
        <v/>
      </c>
      <c r="F53" s="61"/>
      <c r="G53" s="77" t="str">
        <f aca="false">IF(AND(E53&lt;&gt;"",F53&lt;&gt;""),E53-F53,"")</f>
        <v/>
      </c>
      <c r="H53" s="78" t="str">
        <f aca="false">IF(AND(E53&lt;&gt;"",F53&lt;&gt;"",F53&lt;&gt;0),(E53-F53)/F53,"")</f>
        <v/>
      </c>
      <c r="I53" s="61"/>
      <c r="J53" s="64"/>
      <c r="K53" s="59"/>
      <c r="L53" s="76" t="str">
        <f aca="false">IF(AND(J53&lt;&gt;"",K53&lt;&gt;"",K53&lt;&gt;0),J53/K53,"")</f>
        <v/>
      </c>
      <c r="M53" s="79"/>
      <c r="N53" s="80"/>
      <c r="O53" s="1"/>
    </row>
    <row r="54" customFormat="false" ht="21.75" hidden="false" customHeight="true" outlineLevel="0" collapsed="false">
      <c r="A54" s="67" t="n">
        <v>45681</v>
      </c>
      <c r="B54" s="68" t="s">
        <v>55</v>
      </c>
      <c r="C54" s="58"/>
      <c r="D54" s="59"/>
      <c r="E54" s="69" t="str">
        <f aca="false">IF(AND(C54&lt;&gt;"",D54&lt;&gt;"",D54&lt;&gt;0),C54/D54/1000,"")</f>
        <v/>
      </c>
      <c r="F54" s="61"/>
      <c r="G54" s="70" t="str">
        <f aca="false">IF(AND(E54&lt;&gt;"",F54&lt;&gt;""),E54-F54,"")</f>
        <v/>
      </c>
      <c r="H54" s="71" t="str">
        <f aca="false">IF(AND(E54&lt;&gt;"",F54&lt;&gt;"",F54&lt;&gt;0),(E54-F54)/F54,"")</f>
        <v/>
      </c>
      <c r="I54" s="61"/>
      <c r="J54" s="64"/>
      <c r="K54" s="59"/>
      <c r="L54" s="69" t="str">
        <f aca="false">IF(AND(J54&lt;&gt;"",K54&lt;&gt;"",K54&lt;&gt;0),J54/K54,"")</f>
        <v/>
      </c>
      <c r="M54" s="72"/>
      <c r="N54" s="73"/>
      <c r="O54" s="1"/>
    </row>
    <row r="55" customFormat="false" ht="21.75" hidden="false" customHeight="true" outlineLevel="0" collapsed="false">
      <c r="A55" s="56" t="n">
        <v>45680</v>
      </c>
      <c r="B55" s="57" t="s">
        <v>56</v>
      </c>
      <c r="C55" s="58"/>
      <c r="D55" s="59"/>
      <c r="E55" s="60" t="str">
        <f aca="false">IF(AND(C55&lt;&gt;"",D55&lt;&gt;"",D55&lt;&gt;0),C55/D55/1000,"")</f>
        <v/>
      </c>
      <c r="F55" s="61"/>
      <c r="G55" s="62" t="str">
        <f aca="false">IF(AND(E55&lt;&gt;"",F55&lt;&gt;""),E55-F55,"")</f>
        <v/>
      </c>
      <c r="H55" s="63" t="str">
        <f aca="false">IF(AND(E55&lt;&gt;"",F55&lt;&gt;"",F55&lt;&gt;0),(E55-F55)/F55,"")</f>
        <v/>
      </c>
      <c r="I55" s="61"/>
      <c r="J55" s="64"/>
      <c r="K55" s="59"/>
      <c r="L55" s="60" t="str">
        <f aca="false">IF(AND(J55&lt;&gt;"",K55&lt;&gt;"",K55&lt;&gt;0),J55/K55,"")</f>
        <v/>
      </c>
      <c r="M55" s="65"/>
      <c r="N55" s="66"/>
      <c r="O55" s="1"/>
    </row>
    <row r="56" customFormat="false" ht="21.75" hidden="false" customHeight="true" outlineLevel="0" collapsed="false">
      <c r="A56" s="67" t="n">
        <v>45679</v>
      </c>
      <c r="B56" s="68" t="s">
        <v>57</v>
      </c>
      <c r="C56" s="58"/>
      <c r="D56" s="59"/>
      <c r="E56" s="69" t="str">
        <f aca="false">IF(AND(C56&lt;&gt;"",D56&lt;&gt;"",D56&lt;&gt;0),C56/D56/1000,"")</f>
        <v/>
      </c>
      <c r="F56" s="61"/>
      <c r="G56" s="70" t="str">
        <f aca="false">IF(AND(E56&lt;&gt;"",F56&lt;&gt;""),E56-F56,"")</f>
        <v/>
      </c>
      <c r="H56" s="71" t="str">
        <f aca="false">IF(AND(E56&lt;&gt;"",F56&lt;&gt;"",F56&lt;&gt;0),(E56-F56)/F56,"")</f>
        <v/>
      </c>
      <c r="I56" s="61"/>
      <c r="J56" s="64"/>
      <c r="K56" s="59"/>
      <c r="L56" s="69" t="str">
        <f aca="false">IF(AND(J56&lt;&gt;"",K56&lt;&gt;"",K56&lt;&gt;0),J56/K56,"")</f>
        <v/>
      </c>
      <c r="M56" s="72"/>
      <c r="N56" s="73"/>
      <c r="O56" s="1"/>
    </row>
    <row r="57" customFormat="false" ht="21.75" hidden="false" customHeight="true" outlineLevel="0" collapsed="false">
      <c r="A57" s="56" t="n">
        <v>45678</v>
      </c>
      <c r="B57" s="57" t="s">
        <v>58</v>
      </c>
      <c r="C57" s="58"/>
      <c r="D57" s="59"/>
      <c r="E57" s="60" t="str">
        <f aca="false">IF(AND(C57&lt;&gt;"",D57&lt;&gt;"",D57&lt;&gt;0),C57/D57/1000,"")</f>
        <v/>
      </c>
      <c r="F57" s="61"/>
      <c r="G57" s="62" t="str">
        <f aca="false">IF(AND(E57&lt;&gt;"",F57&lt;&gt;""),E57-F57,"")</f>
        <v/>
      </c>
      <c r="H57" s="63" t="str">
        <f aca="false">IF(AND(E57&lt;&gt;"",F57&lt;&gt;"",F57&lt;&gt;0),(E57-F57)/F57,"")</f>
        <v/>
      </c>
      <c r="I57" s="61"/>
      <c r="J57" s="64"/>
      <c r="K57" s="59"/>
      <c r="L57" s="60" t="str">
        <f aca="false">IF(AND(J57&lt;&gt;"",K57&lt;&gt;"",K57&lt;&gt;0),J57/K57,"")</f>
        <v/>
      </c>
      <c r="M57" s="65"/>
      <c r="N57" s="66"/>
      <c r="O57" s="1"/>
    </row>
    <row r="58" customFormat="false" ht="21.75" hidden="false" customHeight="true" outlineLevel="0" collapsed="false">
      <c r="A58" s="67" t="n">
        <v>45677</v>
      </c>
      <c r="B58" s="68" t="s">
        <v>59</v>
      </c>
      <c r="C58" s="58"/>
      <c r="D58" s="59"/>
      <c r="E58" s="69" t="str">
        <f aca="false">IF(AND(C58&lt;&gt;"",D58&lt;&gt;"",D58&lt;&gt;0),C58/D58/1000,"")</f>
        <v/>
      </c>
      <c r="F58" s="61"/>
      <c r="G58" s="70" t="str">
        <f aca="false">IF(AND(E58&lt;&gt;"",F58&lt;&gt;""),E58-F58,"")</f>
        <v/>
      </c>
      <c r="H58" s="71" t="str">
        <f aca="false">IF(AND(E58&lt;&gt;"",F58&lt;&gt;"",F58&lt;&gt;0),(E58-F58)/F58,"")</f>
        <v/>
      </c>
      <c r="I58" s="61"/>
      <c r="J58" s="64"/>
      <c r="K58" s="59"/>
      <c r="L58" s="69" t="str">
        <f aca="false">IF(AND(J58&lt;&gt;"",K58&lt;&gt;"",K58&lt;&gt;0),J58/K58,"")</f>
        <v/>
      </c>
      <c r="M58" s="72"/>
      <c r="N58" s="73"/>
      <c r="O58" s="1"/>
    </row>
    <row r="59" customFormat="false" ht="21.75" hidden="false" customHeight="true" outlineLevel="0" collapsed="false">
      <c r="A59" s="74" t="n">
        <v>45676</v>
      </c>
      <c r="B59" s="75" t="s">
        <v>60</v>
      </c>
      <c r="C59" s="58"/>
      <c r="D59" s="59"/>
      <c r="E59" s="76" t="str">
        <f aca="false">IF(AND(C59&lt;&gt;"",D59&lt;&gt;"",D59&lt;&gt;0),C59/D59/1000,"")</f>
        <v/>
      </c>
      <c r="F59" s="61"/>
      <c r="G59" s="77" t="str">
        <f aca="false">IF(AND(E59&lt;&gt;"",F59&lt;&gt;""),E59-F59,"")</f>
        <v/>
      </c>
      <c r="H59" s="78" t="str">
        <f aca="false">IF(AND(E59&lt;&gt;"",F59&lt;&gt;"",F59&lt;&gt;0),(E59-F59)/F59,"")</f>
        <v/>
      </c>
      <c r="I59" s="61"/>
      <c r="J59" s="64"/>
      <c r="K59" s="59"/>
      <c r="L59" s="76" t="str">
        <f aca="false">IF(AND(J59&lt;&gt;"",K59&lt;&gt;"",K59&lt;&gt;0),J59/K59,"")</f>
        <v/>
      </c>
      <c r="M59" s="79"/>
      <c r="N59" s="80"/>
      <c r="O59" s="1"/>
    </row>
    <row r="60" customFormat="false" ht="21.75" hidden="false" customHeight="true" outlineLevel="0" collapsed="false">
      <c r="A60" s="74" t="n">
        <v>45675</v>
      </c>
      <c r="B60" s="75" t="s">
        <v>61</v>
      </c>
      <c r="C60" s="58"/>
      <c r="D60" s="59"/>
      <c r="E60" s="76" t="str">
        <f aca="false">IF(AND(C60&lt;&gt;"",D60&lt;&gt;"",D60&lt;&gt;0),C60/D60/1000,"")</f>
        <v/>
      </c>
      <c r="F60" s="61"/>
      <c r="G60" s="77" t="str">
        <f aca="false">IF(AND(E60&lt;&gt;"",F60&lt;&gt;""),E60-F60,"")</f>
        <v/>
      </c>
      <c r="H60" s="78" t="str">
        <f aca="false">IF(AND(E60&lt;&gt;"",F60&lt;&gt;"",F60&lt;&gt;0),(E60-F60)/F60,"")</f>
        <v/>
      </c>
      <c r="I60" s="61"/>
      <c r="J60" s="64"/>
      <c r="K60" s="59"/>
      <c r="L60" s="76" t="str">
        <f aca="false">IF(AND(J60&lt;&gt;"",K60&lt;&gt;"",K60&lt;&gt;0),J60/K60,"")</f>
        <v/>
      </c>
      <c r="M60" s="79"/>
      <c r="N60" s="80"/>
      <c r="O60" s="1"/>
    </row>
    <row r="61" customFormat="false" ht="21.75" hidden="false" customHeight="true" outlineLevel="0" collapsed="false">
      <c r="A61" s="56" t="n">
        <v>45674</v>
      </c>
      <c r="B61" s="57" t="s">
        <v>55</v>
      </c>
      <c r="C61" s="58"/>
      <c r="D61" s="59"/>
      <c r="E61" s="60" t="str">
        <f aca="false">IF(AND(C61&lt;&gt;"",D61&lt;&gt;"",D61&lt;&gt;0),C61/D61/1000,"")</f>
        <v/>
      </c>
      <c r="F61" s="61"/>
      <c r="G61" s="62" t="str">
        <f aca="false">IF(AND(E61&lt;&gt;"",F61&lt;&gt;""),E61-F61,"")</f>
        <v/>
      </c>
      <c r="H61" s="63" t="str">
        <f aca="false">IF(AND(E61&lt;&gt;"",F61&lt;&gt;"",F61&lt;&gt;0),(E61-F61)/F61,"")</f>
        <v/>
      </c>
      <c r="I61" s="61"/>
      <c r="J61" s="64"/>
      <c r="K61" s="59"/>
      <c r="L61" s="60" t="str">
        <f aca="false">IF(AND(J61&lt;&gt;"",K61&lt;&gt;"",K61&lt;&gt;0),J61/K61,"")</f>
        <v/>
      </c>
      <c r="M61" s="65"/>
      <c r="N61" s="66"/>
      <c r="O61" s="1"/>
    </row>
    <row r="62" customFormat="false" ht="21.75" hidden="false" customHeight="true" outlineLevel="0" collapsed="false">
      <c r="A62" s="67" t="n">
        <v>45673</v>
      </c>
      <c r="B62" s="68" t="s">
        <v>56</v>
      </c>
      <c r="C62" s="58"/>
      <c r="D62" s="59"/>
      <c r="E62" s="69" t="str">
        <f aca="false">IF(AND(C62&lt;&gt;"",D62&lt;&gt;"",D62&lt;&gt;0),C62/D62/1000,"")</f>
        <v/>
      </c>
      <c r="F62" s="61"/>
      <c r="G62" s="70" t="str">
        <f aca="false">IF(AND(E62&lt;&gt;"",F62&lt;&gt;""),E62-F62,"")</f>
        <v/>
      </c>
      <c r="H62" s="71" t="str">
        <f aca="false">IF(AND(E62&lt;&gt;"",F62&lt;&gt;"",F62&lt;&gt;0),(E62-F62)/F62,"")</f>
        <v/>
      </c>
      <c r="I62" s="61"/>
      <c r="J62" s="64"/>
      <c r="K62" s="59"/>
      <c r="L62" s="69" t="str">
        <f aca="false">IF(AND(J62&lt;&gt;"",K62&lt;&gt;"",K62&lt;&gt;0),J62/K62,"")</f>
        <v/>
      </c>
      <c r="M62" s="72"/>
      <c r="N62" s="73"/>
      <c r="O62" s="1"/>
    </row>
    <row r="63" customFormat="false" ht="21.75" hidden="false" customHeight="true" outlineLevel="0" collapsed="false">
      <c r="A63" s="56" t="n">
        <v>45672</v>
      </c>
      <c r="B63" s="57" t="s">
        <v>57</v>
      </c>
      <c r="C63" s="58"/>
      <c r="D63" s="59"/>
      <c r="E63" s="60" t="str">
        <f aca="false">IF(AND(C63&lt;&gt;"",D63&lt;&gt;"",D63&lt;&gt;0),C63/D63/1000,"")</f>
        <v/>
      </c>
      <c r="F63" s="61"/>
      <c r="G63" s="62" t="str">
        <f aca="false">IF(AND(E63&lt;&gt;"",F63&lt;&gt;""),E63-F63,"")</f>
        <v/>
      </c>
      <c r="H63" s="63" t="str">
        <f aca="false">IF(AND(E63&lt;&gt;"",F63&lt;&gt;"",F63&lt;&gt;0),(E63-F63)/F63,"")</f>
        <v/>
      </c>
      <c r="I63" s="61"/>
      <c r="J63" s="64"/>
      <c r="K63" s="59"/>
      <c r="L63" s="60" t="str">
        <f aca="false">IF(AND(J63&lt;&gt;"",K63&lt;&gt;"",K63&lt;&gt;0),J63/K63,"")</f>
        <v/>
      </c>
      <c r="M63" s="65"/>
      <c r="N63" s="66"/>
      <c r="O63" s="1"/>
    </row>
    <row r="64" customFormat="false" ht="21.75" hidden="false" customHeight="true" outlineLevel="0" collapsed="false">
      <c r="A64" s="67" t="n">
        <v>45671</v>
      </c>
      <c r="B64" s="68" t="s">
        <v>58</v>
      </c>
      <c r="C64" s="58"/>
      <c r="D64" s="59"/>
      <c r="E64" s="69" t="str">
        <f aca="false">IF(AND(C64&lt;&gt;"",D64&lt;&gt;"",D64&lt;&gt;0),C64/D64/1000,"")</f>
        <v/>
      </c>
      <c r="F64" s="61"/>
      <c r="G64" s="70" t="str">
        <f aca="false">IF(AND(E64&lt;&gt;"",F64&lt;&gt;""),E64-F64,"")</f>
        <v/>
      </c>
      <c r="H64" s="71" t="str">
        <f aca="false">IF(AND(E64&lt;&gt;"",F64&lt;&gt;"",F64&lt;&gt;0),(E64-F64)/F64,"")</f>
        <v/>
      </c>
      <c r="I64" s="61"/>
      <c r="J64" s="64"/>
      <c r="K64" s="59"/>
      <c r="L64" s="69" t="str">
        <f aca="false">IF(AND(J64&lt;&gt;"",K64&lt;&gt;"",K64&lt;&gt;0),J64/K64,"")</f>
        <v/>
      </c>
      <c r="M64" s="72"/>
      <c r="N64" s="73"/>
      <c r="O64" s="1"/>
    </row>
    <row r="65" customFormat="false" ht="15" hidden="false" customHeight="false" outlineLevel="0" collapsed="false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</row>
    <row r="66" customFormat="false" ht="15" hidden="false" customHeight="false" outlineLevel="0" collapsed="false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</row>
    <row r="67" customFormat="false" ht="15" hidden="false" customHeight="false" outlineLevel="0" collapsed="false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</row>
    <row r="68" customFormat="false" ht="15" hidden="false" customHeight="false" outlineLevel="0" collapsed="false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</row>
    <row r="69" customFormat="false" ht="15" hidden="false" customHeight="false" outlineLevel="0" collapsed="false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</row>
  </sheetData>
  <mergeCells count="7">
    <mergeCell ref="A1:N1"/>
    <mergeCell ref="A2:N2"/>
    <mergeCell ref="A3:B3"/>
    <mergeCell ref="C3:E3"/>
    <mergeCell ref="G3:H3"/>
    <mergeCell ref="J3:L3"/>
    <mergeCell ref="M3:N3"/>
  </mergeCells>
  <conditionalFormatting sqref="G5:G64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conditionalFormatting sqref="H5:H64">
    <cfRule type="cellIs" priority="4" operator="lessThan" aboveAverage="0" equalAverage="0" bottom="0" percent="0" rank="0" text="" dxfId="0">
      <formula>0</formula>
    </cfRule>
    <cfRule type="cellIs" priority="5" operator="greaterThan" aboveAverage="0" equalAverage="0" bottom="0" percent="0" rank="0" text="" dxfId="1">
      <formula>0</formula>
    </cfRule>
  </conditionalFormatting>
  <conditionalFormatting sqref="E5:E64">
    <cfRule type="dataBar" priority="6">
      <dataBar showValue="1" minLength="10" maxLength="90">
        <cfvo type="min" val="0"/>
        <cfvo type="max" val="0"/>
        <color rgb="FF3B82F6"/>
      </dataBar>
      <extLst>
        <ext xmlns:x14="http://schemas.microsoft.com/office/spreadsheetml/2009/9/main" uri="{B025F937-C7B1-47D3-B67F-A62EFF666E3E}">
          <x14:id>{2023466C-62B9-4CA7-9C36-FF36EF518C6A}</x14:id>
        </ext>
      </extLst>
    </cfRule>
  </conditionalFormatting>
  <conditionalFormatting sqref="F5:F64">
    <cfRule type="dataBar" priority="7">
      <dataBar showValue="1" minLength="10" maxLength="90">
        <cfvo type="min" val="0"/>
        <cfvo type="max" val="0"/>
        <color rgb="FF3B82F6"/>
      </dataBar>
      <extLst>
        <ext xmlns:x14="http://schemas.microsoft.com/office/spreadsheetml/2009/9/main" uri="{B025F937-C7B1-47D3-B67F-A62EFF666E3E}">
          <x14:id>{63A8F122-CBF9-4E65-925C-3A7BD94A9CB4}</x14:id>
        </ext>
      </extLst>
    </cfRule>
  </conditionalFormatting>
  <conditionalFormatting sqref="I5:I64">
    <cfRule type="dataBar" priority="8">
      <dataBar showValue="1" minLength="10" maxLength="90">
        <cfvo type="min" val="0"/>
        <cfvo type="max" val="0"/>
        <color rgb="FF3B82F6"/>
      </dataBar>
      <extLst>
        <ext xmlns:x14="http://schemas.microsoft.com/office/spreadsheetml/2009/9/main" uri="{B025F937-C7B1-47D3-B67F-A62EFF666E3E}">
          <x14:id>{F1608C4A-EEBE-44F3-B34D-E9A0E24F9EB1}</x14:id>
        </ext>
      </extLst>
    </cfRule>
  </conditionalFormatting>
  <conditionalFormatting sqref="L5:L64">
    <cfRule type="dataBar" priority="9">
      <dataBar showValue="1" minLength="10" maxLength="90">
        <cfvo type="min" val="0"/>
        <cfvo type="max" val="0"/>
        <color rgb="FF3B82F6"/>
      </dataBar>
      <extLst>
        <ext xmlns:x14="http://schemas.microsoft.com/office/spreadsheetml/2009/9/main" uri="{B025F937-C7B1-47D3-B67F-A62EFF666E3E}">
          <x14:id>{ED31D638-BB46-4513-BBDE-906549163632}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023466C-62B9-4CA7-9C36-FF36EF518C6A}">
            <x14:dataBar minLength="10" maxLength="90" axisPosition="none" gradient="true">
              <x14:cfvo type="min"/>
              <x14:cfvo type="max"/>
              <x14:negativeFillColor rgb="FF3B82F6"/>
              <x14:axisColor rgb="FF000000"/>
            </x14:dataBar>
          </x14:cfRule>
          <xm:sqref>E5:E64</xm:sqref>
        </x14:conditionalFormatting>
        <x14:conditionalFormatting xmlns:xm="http://schemas.microsoft.com/office/excel/2006/main">
          <x14:cfRule type="dataBar" id="{63A8F122-CBF9-4E65-925C-3A7BD94A9CB4}">
            <x14:dataBar minLength="10" maxLength="90" axisPosition="none" gradient="true">
              <x14:cfvo type="min"/>
              <x14:cfvo type="max"/>
              <x14:negativeFillColor rgb="FF3B82F6"/>
              <x14:axisColor rgb="FF000000"/>
            </x14:dataBar>
          </x14:cfRule>
          <xm:sqref>F5:F64</xm:sqref>
        </x14:conditionalFormatting>
        <x14:conditionalFormatting xmlns:xm="http://schemas.microsoft.com/office/excel/2006/main">
          <x14:cfRule type="dataBar" id="{F1608C4A-EEBE-44F3-B34D-E9A0E24F9EB1}">
            <x14:dataBar minLength="10" maxLength="90" axisPosition="none" gradient="true">
              <x14:cfvo type="min"/>
              <x14:cfvo type="max"/>
              <x14:negativeFillColor rgb="FF3B82F6"/>
              <x14:axisColor rgb="FF000000"/>
            </x14:dataBar>
          </x14:cfRule>
          <xm:sqref>I5:I64</xm:sqref>
        </x14:conditionalFormatting>
        <x14:conditionalFormatting xmlns:xm="http://schemas.microsoft.com/office/excel/2006/main">
          <x14:cfRule type="dataBar" id="{ED31D638-BB46-4513-BBDE-906549163632}">
            <x14:dataBar minLength="10" maxLength="90" axisPosition="none" gradient="true">
              <x14:cfvo type="min"/>
              <x14:cfvo type="max"/>
              <x14:negativeFillColor rgb="FF3B82F6"/>
              <x14:axisColor rgb="FF000000"/>
            </x14:dataBar>
          </x14:cfRule>
          <xm:sqref>L5:L64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9E0B"/>
    <pageSetUpPr fitToPage="false"/>
  </sheetPr>
  <dimension ref="A1:K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9" min="2" style="0" width="11"/>
    <col collapsed="false" customWidth="true" hidden="false" outlineLevel="0" max="10" min="10" style="0" width="20"/>
  </cols>
  <sheetData>
    <row r="1" customFormat="false" ht="36" hidden="false" customHeight="true" outlineLevel="0" collapsed="false">
      <c r="A1" s="48" t="s">
        <v>62</v>
      </c>
      <c r="B1" s="48"/>
      <c r="C1" s="48"/>
      <c r="D1" s="48"/>
      <c r="E1" s="48"/>
      <c r="F1" s="48"/>
      <c r="G1" s="48"/>
      <c r="H1" s="48"/>
      <c r="I1" s="48"/>
      <c r="J1" s="48"/>
      <c r="K1" s="1"/>
    </row>
    <row r="2" customFormat="false" ht="18" hidden="false" customHeight="true" outlineLevel="0" collapsed="false">
      <c r="A2" s="3" t="s">
        <v>63</v>
      </c>
      <c r="B2" s="3"/>
      <c r="C2" s="3"/>
      <c r="D2" s="3"/>
      <c r="E2" s="3"/>
      <c r="F2" s="3"/>
      <c r="G2" s="3"/>
      <c r="H2" s="3"/>
      <c r="I2" s="3"/>
      <c r="J2" s="3"/>
      <c r="K2" s="1"/>
    </row>
    <row r="3" customFormat="false" ht="30" hidden="false" customHeight="true" outlineLevel="0" collapsed="false">
      <c r="A3" s="81" t="s">
        <v>64</v>
      </c>
      <c r="B3" s="81" t="s">
        <v>65</v>
      </c>
      <c r="C3" s="81" t="s">
        <v>66</v>
      </c>
      <c r="D3" s="81" t="s">
        <v>67</v>
      </c>
      <c r="E3" s="81" t="s">
        <v>68</v>
      </c>
      <c r="F3" s="81" t="s">
        <v>69</v>
      </c>
      <c r="G3" s="81" t="s">
        <v>70</v>
      </c>
      <c r="H3" s="81" t="s">
        <v>71</v>
      </c>
      <c r="I3" s="81" t="s">
        <v>72</v>
      </c>
      <c r="J3" s="81" t="s">
        <v>53</v>
      </c>
      <c r="K3" s="1"/>
    </row>
    <row r="4" customFormat="false" ht="21.75" hidden="false" customHeight="true" outlineLevel="0" collapsed="false">
      <c r="A4" s="56" t="n">
        <v>45726</v>
      </c>
      <c r="B4" s="61"/>
      <c r="C4" s="61"/>
      <c r="D4" s="61"/>
      <c r="E4" s="61"/>
      <c r="F4" s="61"/>
      <c r="G4" s="61"/>
      <c r="H4" s="61"/>
      <c r="I4" s="63" t="str">
        <f aca="false">IF(AND(B4&lt;&gt;"",H4&lt;&gt;"",H4&lt;&gt;0),(B4-H4)/H4,"")</f>
        <v/>
      </c>
      <c r="J4" s="65"/>
      <c r="K4" s="1"/>
    </row>
    <row r="5" customFormat="false" ht="21.75" hidden="false" customHeight="true" outlineLevel="0" collapsed="false">
      <c r="A5" s="67" t="n">
        <v>45719</v>
      </c>
      <c r="B5" s="61"/>
      <c r="C5" s="61"/>
      <c r="D5" s="61"/>
      <c r="E5" s="61"/>
      <c r="F5" s="61"/>
      <c r="G5" s="61"/>
      <c r="H5" s="61"/>
      <c r="I5" s="71" t="str">
        <f aca="false">IF(AND(B5&lt;&gt;"",H5&lt;&gt;"",H5&lt;&gt;0),(B5-H5)/H5,"")</f>
        <v/>
      </c>
      <c r="J5" s="72"/>
      <c r="K5" s="1"/>
    </row>
    <row r="6" customFormat="false" ht="21.75" hidden="false" customHeight="true" outlineLevel="0" collapsed="false">
      <c r="A6" s="56" t="n">
        <v>45712</v>
      </c>
      <c r="B6" s="61"/>
      <c r="C6" s="61"/>
      <c r="D6" s="61"/>
      <c r="E6" s="61"/>
      <c r="F6" s="61"/>
      <c r="G6" s="61"/>
      <c r="H6" s="61"/>
      <c r="I6" s="63" t="str">
        <f aca="false">IF(AND(B6&lt;&gt;"",H6&lt;&gt;"",H6&lt;&gt;0),(B6-H6)/H6,"")</f>
        <v/>
      </c>
      <c r="J6" s="65"/>
      <c r="K6" s="1"/>
    </row>
    <row r="7" customFormat="false" ht="21.75" hidden="false" customHeight="true" outlineLevel="0" collapsed="false">
      <c r="A7" s="67" t="n">
        <v>45705</v>
      </c>
      <c r="B7" s="61"/>
      <c r="C7" s="61"/>
      <c r="D7" s="61"/>
      <c r="E7" s="61"/>
      <c r="F7" s="61"/>
      <c r="G7" s="61"/>
      <c r="H7" s="61"/>
      <c r="I7" s="71" t="str">
        <f aca="false">IF(AND(B7&lt;&gt;"",H7&lt;&gt;"",H7&lt;&gt;0),(B7-H7)/H7,"")</f>
        <v/>
      </c>
      <c r="J7" s="72"/>
      <c r="K7" s="1"/>
    </row>
    <row r="8" customFormat="false" ht="21.75" hidden="false" customHeight="true" outlineLevel="0" collapsed="false">
      <c r="A8" s="56" t="n">
        <v>45698</v>
      </c>
      <c r="B8" s="61"/>
      <c r="C8" s="61"/>
      <c r="D8" s="61"/>
      <c r="E8" s="61"/>
      <c r="F8" s="61"/>
      <c r="G8" s="61"/>
      <c r="H8" s="61"/>
      <c r="I8" s="63" t="str">
        <f aca="false">IF(AND(B8&lt;&gt;"",H8&lt;&gt;"",H8&lt;&gt;0),(B8-H8)/H8,"")</f>
        <v/>
      </c>
      <c r="J8" s="65"/>
      <c r="K8" s="1"/>
    </row>
    <row r="9" customFormat="false" ht="21.75" hidden="false" customHeight="true" outlineLevel="0" collapsed="false">
      <c r="A9" s="67" t="n">
        <v>45691</v>
      </c>
      <c r="B9" s="61"/>
      <c r="C9" s="61"/>
      <c r="D9" s="61"/>
      <c r="E9" s="61"/>
      <c r="F9" s="61"/>
      <c r="G9" s="61"/>
      <c r="H9" s="61"/>
      <c r="I9" s="71" t="str">
        <f aca="false">IF(AND(B9&lt;&gt;"",H9&lt;&gt;"",H9&lt;&gt;0),(B9-H9)/H9,"")</f>
        <v/>
      </c>
      <c r="J9" s="72"/>
      <c r="K9" s="1"/>
    </row>
    <row r="10" customFormat="false" ht="21.75" hidden="false" customHeight="true" outlineLevel="0" collapsed="false">
      <c r="A10" s="56" t="n">
        <v>45684</v>
      </c>
      <c r="B10" s="61"/>
      <c r="C10" s="61"/>
      <c r="D10" s="61"/>
      <c r="E10" s="61"/>
      <c r="F10" s="61"/>
      <c r="G10" s="61"/>
      <c r="H10" s="61"/>
      <c r="I10" s="63" t="str">
        <f aca="false">IF(AND(B10&lt;&gt;"",H10&lt;&gt;"",H10&lt;&gt;0),(B10-H10)/H10,"")</f>
        <v/>
      </c>
      <c r="J10" s="65"/>
      <c r="K10" s="1"/>
    </row>
    <row r="11" customFormat="false" ht="21.75" hidden="false" customHeight="true" outlineLevel="0" collapsed="false">
      <c r="A11" s="67" t="n">
        <v>45677</v>
      </c>
      <c r="B11" s="61"/>
      <c r="C11" s="61"/>
      <c r="D11" s="61"/>
      <c r="E11" s="61"/>
      <c r="F11" s="61"/>
      <c r="G11" s="61"/>
      <c r="H11" s="61"/>
      <c r="I11" s="71" t="str">
        <f aca="false">IF(AND(B11&lt;&gt;"",H11&lt;&gt;"",H11&lt;&gt;0),(B11-H11)/H11,"")</f>
        <v/>
      </c>
      <c r="J11" s="72"/>
      <c r="K11" s="1"/>
    </row>
    <row r="12" customFormat="false" ht="21.75" hidden="false" customHeight="true" outlineLevel="0" collapsed="false">
      <c r="A12" s="56" t="n">
        <v>45670</v>
      </c>
      <c r="B12" s="61"/>
      <c r="C12" s="61"/>
      <c r="D12" s="61"/>
      <c r="E12" s="61"/>
      <c r="F12" s="61"/>
      <c r="G12" s="61"/>
      <c r="H12" s="61"/>
      <c r="I12" s="63" t="str">
        <f aca="false">IF(AND(B12&lt;&gt;"",H12&lt;&gt;"",H12&lt;&gt;0),(B12-H12)/H12,"")</f>
        <v/>
      </c>
      <c r="J12" s="65"/>
      <c r="K12" s="1"/>
    </row>
    <row r="13" customFormat="false" ht="21.75" hidden="false" customHeight="true" outlineLevel="0" collapsed="false">
      <c r="A13" s="67" t="n">
        <v>45663</v>
      </c>
      <c r="B13" s="61"/>
      <c r="C13" s="61"/>
      <c r="D13" s="61"/>
      <c r="E13" s="61"/>
      <c r="F13" s="61"/>
      <c r="G13" s="61"/>
      <c r="H13" s="61"/>
      <c r="I13" s="71" t="str">
        <f aca="false">IF(AND(B13&lt;&gt;"",H13&lt;&gt;"",H13&lt;&gt;0),(B13-H13)/H13,"")</f>
        <v/>
      </c>
      <c r="J13" s="72"/>
      <c r="K13" s="1"/>
    </row>
    <row r="14" customFormat="false" ht="21.75" hidden="false" customHeight="true" outlineLevel="0" collapsed="false">
      <c r="A14" s="56" t="n">
        <v>45656</v>
      </c>
      <c r="B14" s="61"/>
      <c r="C14" s="61"/>
      <c r="D14" s="61"/>
      <c r="E14" s="61"/>
      <c r="F14" s="61"/>
      <c r="G14" s="61"/>
      <c r="H14" s="61"/>
      <c r="I14" s="63" t="str">
        <f aca="false">IF(AND(B14&lt;&gt;"",H14&lt;&gt;"",H14&lt;&gt;0),(B14-H14)/H14,"")</f>
        <v/>
      </c>
      <c r="J14" s="65"/>
      <c r="K14" s="1"/>
    </row>
    <row r="15" customFormat="false" ht="21.75" hidden="false" customHeight="true" outlineLevel="0" collapsed="false">
      <c r="A15" s="67" t="n">
        <v>45649</v>
      </c>
      <c r="B15" s="61"/>
      <c r="C15" s="61"/>
      <c r="D15" s="61"/>
      <c r="E15" s="61"/>
      <c r="F15" s="61"/>
      <c r="G15" s="61"/>
      <c r="H15" s="61"/>
      <c r="I15" s="71" t="str">
        <f aca="false">IF(AND(B15&lt;&gt;"",H15&lt;&gt;"",H15&lt;&gt;0),(B15-H15)/H15,"")</f>
        <v/>
      </c>
      <c r="J15" s="72"/>
      <c r="K15" s="1"/>
    </row>
    <row r="16" customFormat="false" ht="21.75" hidden="false" customHeight="true" outlineLevel="0" collapsed="false">
      <c r="A16" s="56" t="n">
        <v>45642</v>
      </c>
      <c r="B16" s="61"/>
      <c r="C16" s="61"/>
      <c r="D16" s="61"/>
      <c r="E16" s="61"/>
      <c r="F16" s="61"/>
      <c r="G16" s="61"/>
      <c r="H16" s="61"/>
      <c r="I16" s="63" t="str">
        <f aca="false">IF(AND(B16&lt;&gt;"",H16&lt;&gt;"",H16&lt;&gt;0),(B16-H16)/H16,"")</f>
        <v/>
      </c>
      <c r="J16" s="65"/>
      <c r="K16" s="1"/>
    </row>
    <row r="17" customFormat="false" ht="21.75" hidden="false" customHeight="true" outlineLevel="0" collapsed="false">
      <c r="A17" s="67" t="n">
        <v>45635</v>
      </c>
      <c r="B17" s="61"/>
      <c r="C17" s="61"/>
      <c r="D17" s="61"/>
      <c r="E17" s="61"/>
      <c r="F17" s="61"/>
      <c r="G17" s="61"/>
      <c r="H17" s="61"/>
      <c r="I17" s="71" t="str">
        <f aca="false">IF(AND(B17&lt;&gt;"",H17&lt;&gt;"",H17&lt;&gt;0),(B17-H17)/H17,"")</f>
        <v/>
      </c>
      <c r="J17" s="72"/>
      <c r="K17" s="1"/>
    </row>
    <row r="18" customFormat="false" ht="21.75" hidden="false" customHeight="true" outlineLevel="0" collapsed="false">
      <c r="A18" s="56" t="n">
        <v>45628</v>
      </c>
      <c r="B18" s="61"/>
      <c r="C18" s="61"/>
      <c r="D18" s="61"/>
      <c r="E18" s="61"/>
      <c r="F18" s="61"/>
      <c r="G18" s="61"/>
      <c r="H18" s="61"/>
      <c r="I18" s="63" t="str">
        <f aca="false">IF(AND(B18&lt;&gt;"",H18&lt;&gt;"",H18&lt;&gt;0),(B18-H18)/H18,"")</f>
        <v/>
      </c>
      <c r="J18" s="65"/>
      <c r="K18" s="1"/>
    </row>
    <row r="19" customFormat="false" ht="21.75" hidden="false" customHeight="true" outlineLevel="0" collapsed="false">
      <c r="A19" s="67" t="n">
        <v>45621</v>
      </c>
      <c r="B19" s="61"/>
      <c r="C19" s="61"/>
      <c r="D19" s="61"/>
      <c r="E19" s="61"/>
      <c r="F19" s="61"/>
      <c r="G19" s="61"/>
      <c r="H19" s="61"/>
      <c r="I19" s="71" t="str">
        <f aca="false">IF(AND(B19&lt;&gt;"",H19&lt;&gt;"",H19&lt;&gt;0),(B19-H19)/H19,"")</f>
        <v/>
      </c>
      <c r="J19" s="72"/>
      <c r="K19" s="1"/>
    </row>
    <row r="20" customFormat="false" ht="21.75" hidden="false" customHeight="true" outlineLevel="0" collapsed="false">
      <c r="A20" s="56" t="n">
        <v>45614</v>
      </c>
      <c r="B20" s="61"/>
      <c r="C20" s="61"/>
      <c r="D20" s="61"/>
      <c r="E20" s="61"/>
      <c r="F20" s="61"/>
      <c r="G20" s="61"/>
      <c r="H20" s="61"/>
      <c r="I20" s="63" t="str">
        <f aca="false">IF(AND(B20&lt;&gt;"",H20&lt;&gt;"",H20&lt;&gt;0),(B20-H20)/H20,"")</f>
        <v/>
      </c>
      <c r="J20" s="65"/>
      <c r="K20" s="1"/>
    </row>
    <row r="21" customFormat="false" ht="21.75" hidden="false" customHeight="true" outlineLevel="0" collapsed="false">
      <c r="A21" s="67" t="n">
        <v>45607</v>
      </c>
      <c r="B21" s="61"/>
      <c r="C21" s="61"/>
      <c r="D21" s="61"/>
      <c r="E21" s="61"/>
      <c r="F21" s="61"/>
      <c r="G21" s="61"/>
      <c r="H21" s="61"/>
      <c r="I21" s="71" t="str">
        <f aca="false">IF(AND(B21&lt;&gt;"",H21&lt;&gt;"",H21&lt;&gt;0),(B21-H21)/H21,"")</f>
        <v/>
      </c>
      <c r="J21" s="72"/>
      <c r="K21" s="1"/>
    </row>
    <row r="22" customFormat="false" ht="21.75" hidden="false" customHeight="true" outlineLevel="0" collapsed="false">
      <c r="A22" s="56" t="n">
        <v>45600</v>
      </c>
      <c r="B22" s="61"/>
      <c r="C22" s="61"/>
      <c r="D22" s="61"/>
      <c r="E22" s="61"/>
      <c r="F22" s="61"/>
      <c r="G22" s="61"/>
      <c r="H22" s="61"/>
      <c r="I22" s="63" t="str">
        <f aca="false">IF(AND(B22&lt;&gt;"",H22&lt;&gt;"",H22&lt;&gt;0),(B22-H22)/H22,"")</f>
        <v/>
      </c>
      <c r="J22" s="65"/>
      <c r="K22" s="1"/>
    </row>
    <row r="23" customFormat="false" ht="21.75" hidden="false" customHeight="true" outlineLevel="0" collapsed="false">
      <c r="A23" s="67" t="n">
        <v>45593</v>
      </c>
      <c r="B23" s="61"/>
      <c r="C23" s="61"/>
      <c r="D23" s="61"/>
      <c r="E23" s="61"/>
      <c r="F23" s="61"/>
      <c r="G23" s="61"/>
      <c r="H23" s="61"/>
      <c r="I23" s="71" t="str">
        <f aca="false">IF(AND(B23&lt;&gt;"",H23&lt;&gt;"",H23&lt;&gt;0),(B23-H23)/H23,"")</f>
        <v/>
      </c>
      <c r="J23" s="72"/>
      <c r="K23" s="1"/>
    </row>
    <row r="24" customFormat="false" ht="21.75" hidden="false" customHeight="true" outlineLevel="0" collapsed="false">
      <c r="A24" s="56" t="n">
        <v>45586</v>
      </c>
      <c r="B24" s="61"/>
      <c r="C24" s="61"/>
      <c r="D24" s="61"/>
      <c r="E24" s="61"/>
      <c r="F24" s="61"/>
      <c r="G24" s="61"/>
      <c r="H24" s="61"/>
      <c r="I24" s="63" t="str">
        <f aca="false">IF(AND(B24&lt;&gt;"",H24&lt;&gt;"",H24&lt;&gt;0),(B24-H24)/H24,"")</f>
        <v/>
      </c>
      <c r="J24" s="65"/>
      <c r="K24" s="1"/>
    </row>
    <row r="25" customFormat="false" ht="21.75" hidden="false" customHeight="true" outlineLevel="0" collapsed="false">
      <c r="A25" s="67" t="n">
        <v>45579</v>
      </c>
      <c r="B25" s="61"/>
      <c r="C25" s="61"/>
      <c r="D25" s="61"/>
      <c r="E25" s="61"/>
      <c r="F25" s="61"/>
      <c r="G25" s="61"/>
      <c r="H25" s="61"/>
      <c r="I25" s="71" t="str">
        <f aca="false">IF(AND(B25&lt;&gt;"",H25&lt;&gt;"",H25&lt;&gt;0),(B25-H25)/H25,"")</f>
        <v/>
      </c>
      <c r="J25" s="72"/>
      <c r="K25" s="1"/>
    </row>
    <row r="26" customFormat="false" ht="21.75" hidden="false" customHeight="true" outlineLevel="0" collapsed="false">
      <c r="A26" s="56" t="n">
        <v>45572</v>
      </c>
      <c r="B26" s="61"/>
      <c r="C26" s="61"/>
      <c r="D26" s="61"/>
      <c r="E26" s="61"/>
      <c r="F26" s="61"/>
      <c r="G26" s="61"/>
      <c r="H26" s="61"/>
      <c r="I26" s="63" t="str">
        <f aca="false">IF(AND(B26&lt;&gt;"",H26&lt;&gt;"",H26&lt;&gt;0),(B26-H26)/H26,"")</f>
        <v/>
      </c>
      <c r="J26" s="65"/>
      <c r="K26" s="1"/>
    </row>
    <row r="27" customFormat="false" ht="21.75" hidden="false" customHeight="true" outlineLevel="0" collapsed="false">
      <c r="A27" s="67" t="n">
        <v>45565</v>
      </c>
      <c r="B27" s="61"/>
      <c r="C27" s="61"/>
      <c r="D27" s="61"/>
      <c r="E27" s="61"/>
      <c r="F27" s="61"/>
      <c r="G27" s="61"/>
      <c r="H27" s="61"/>
      <c r="I27" s="71" t="str">
        <f aca="false">IF(AND(B27&lt;&gt;"",H27&lt;&gt;"",H27&lt;&gt;0),(B27-H27)/H27,"")</f>
        <v/>
      </c>
      <c r="J27" s="72"/>
      <c r="K27" s="1"/>
    </row>
    <row r="28" customFormat="false" ht="21.75" hidden="false" customHeight="true" outlineLevel="0" collapsed="false">
      <c r="A28" s="56" t="n">
        <v>45558</v>
      </c>
      <c r="B28" s="61"/>
      <c r="C28" s="61"/>
      <c r="D28" s="61"/>
      <c r="E28" s="61"/>
      <c r="F28" s="61"/>
      <c r="G28" s="61"/>
      <c r="H28" s="61"/>
      <c r="I28" s="63" t="str">
        <f aca="false">IF(AND(B28&lt;&gt;"",H28&lt;&gt;"",H28&lt;&gt;0),(B28-H28)/H28,"")</f>
        <v/>
      </c>
      <c r="J28" s="65"/>
      <c r="K28" s="1"/>
    </row>
    <row r="29" customFormat="false" ht="21.75" hidden="false" customHeight="true" outlineLevel="0" collapsed="false">
      <c r="A29" s="67" t="n">
        <v>45551</v>
      </c>
      <c r="B29" s="61"/>
      <c r="C29" s="61"/>
      <c r="D29" s="61"/>
      <c r="E29" s="61"/>
      <c r="F29" s="61"/>
      <c r="G29" s="61"/>
      <c r="H29" s="61"/>
      <c r="I29" s="71" t="str">
        <f aca="false">IF(AND(B29&lt;&gt;"",H29&lt;&gt;"",H29&lt;&gt;0),(B29-H29)/H29,"")</f>
        <v/>
      </c>
      <c r="J29" s="72"/>
      <c r="K29" s="1"/>
    </row>
    <row r="30" customFormat="false" ht="21.75" hidden="false" customHeight="true" outlineLevel="0" collapsed="false">
      <c r="A30" s="56" t="n">
        <v>45544</v>
      </c>
      <c r="B30" s="61"/>
      <c r="C30" s="61"/>
      <c r="D30" s="61"/>
      <c r="E30" s="61"/>
      <c r="F30" s="61"/>
      <c r="G30" s="61"/>
      <c r="H30" s="61"/>
      <c r="I30" s="63" t="str">
        <f aca="false">IF(AND(B30&lt;&gt;"",H30&lt;&gt;"",H30&lt;&gt;0),(B30-H30)/H30,"")</f>
        <v/>
      </c>
      <c r="J30" s="65"/>
      <c r="K30" s="1"/>
    </row>
    <row r="31" customFormat="false" ht="21.75" hidden="false" customHeight="true" outlineLevel="0" collapsed="false">
      <c r="A31" s="67" t="n">
        <v>45537</v>
      </c>
      <c r="B31" s="61"/>
      <c r="C31" s="61"/>
      <c r="D31" s="61"/>
      <c r="E31" s="61"/>
      <c r="F31" s="61"/>
      <c r="G31" s="61"/>
      <c r="H31" s="61"/>
      <c r="I31" s="71" t="str">
        <f aca="false">IF(AND(B31&lt;&gt;"",H31&lt;&gt;"",H31&lt;&gt;0),(B31-H31)/H31,"")</f>
        <v/>
      </c>
      <c r="J31" s="72"/>
      <c r="K31" s="1"/>
    </row>
    <row r="32" customFormat="false" ht="21.75" hidden="false" customHeight="true" outlineLevel="0" collapsed="false">
      <c r="A32" s="56" t="n">
        <v>45530</v>
      </c>
      <c r="B32" s="61"/>
      <c r="C32" s="61"/>
      <c r="D32" s="61"/>
      <c r="E32" s="61"/>
      <c r="F32" s="61"/>
      <c r="G32" s="61"/>
      <c r="H32" s="61"/>
      <c r="I32" s="63" t="str">
        <f aca="false">IF(AND(B32&lt;&gt;"",H32&lt;&gt;"",H32&lt;&gt;0),(B32-H32)/H32,"")</f>
        <v/>
      </c>
      <c r="J32" s="65"/>
      <c r="K32" s="1"/>
    </row>
    <row r="33" customFormat="false" ht="21.75" hidden="false" customHeight="true" outlineLevel="0" collapsed="false">
      <c r="A33" s="67" t="n">
        <v>45523</v>
      </c>
      <c r="B33" s="61"/>
      <c r="C33" s="61"/>
      <c r="D33" s="61"/>
      <c r="E33" s="61"/>
      <c r="F33" s="61"/>
      <c r="G33" s="61"/>
      <c r="H33" s="61"/>
      <c r="I33" s="71" t="str">
        <f aca="false">IF(AND(B33&lt;&gt;"",H33&lt;&gt;"",H33&lt;&gt;0),(B33-H33)/H33,"")</f>
        <v/>
      </c>
      <c r="J33" s="72"/>
      <c r="K33" s="1"/>
    </row>
    <row r="34" customFormat="false" ht="15" hidden="false" customHeight="false" outlineLevel="0" collapsed="false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</row>
    <row r="35" customFormat="false" ht="15" hidden="false" customHeight="false" outlineLevel="0" collapsed="false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</row>
    <row r="36" customFormat="false" ht="15" hidden="false" customHeight="false" outlineLevel="0" collapsed="false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</row>
    <row r="37" customFormat="false" ht="15" hidden="false" customHeight="false" outlineLevel="0" collapsed="false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</row>
    <row r="38" customFormat="false" ht="15" hidden="false" customHeight="false" outlineLevel="0" collapsed="false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</row>
    <row r="39" customFormat="false" ht="15" hidden="false" customHeight="false" outlineLevel="0" collapsed="false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</row>
  </sheetData>
  <mergeCells count="2">
    <mergeCell ref="A1:J1"/>
    <mergeCell ref="A2:J2"/>
  </mergeCells>
  <conditionalFormatting sqref="I4:I33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conditionalFormatting sqref="B4:B33">
    <cfRule type="dataBar" priority="4">
      <dataBar showValue="1" minLength="10" maxLength="90">
        <cfvo type="min" val="0"/>
        <cfvo type="max" val="0"/>
        <color rgb="FFF59E0B"/>
      </dataBar>
      <extLst>
        <ext xmlns:x14="http://schemas.microsoft.com/office/spreadsheetml/2009/9/main" uri="{B025F937-C7B1-47D3-B67F-A62EFF666E3E}">
          <x14:id>{A32AF010-67B5-47C6-927B-6D6E90F439FF}</x14:id>
        </ext>
      </extLst>
    </cfRule>
  </conditionalFormatting>
  <conditionalFormatting sqref="C4:C33">
    <cfRule type="dataBar" priority="5">
      <dataBar showValue="1" minLength="10" maxLength="90">
        <cfvo type="min" val="0"/>
        <cfvo type="max" val="0"/>
        <color rgb="FFF59E0B"/>
      </dataBar>
      <extLst>
        <ext xmlns:x14="http://schemas.microsoft.com/office/spreadsheetml/2009/9/main" uri="{B025F937-C7B1-47D3-B67F-A62EFF666E3E}">
          <x14:id>{BBE36778-B78E-4CBA-8837-3B1C7AC07511}</x14:id>
        </ext>
      </extLst>
    </cfRule>
  </conditionalFormatting>
  <conditionalFormatting sqref="D4:D33">
    <cfRule type="dataBar" priority="6">
      <dataBar showValue="1" minLength="10" maxLength="90">
        <cfvo type="min" val="0"/>
        <cfvo type="max" val="0"/>
        <color rgb="FFF59E0B"/>
      </dataBar>
      <extLst>
        <ext xmlns:x14="http://schemas.microsoft.com/office/spreadsheetml/2009/9/main" uri="{B025F937-C7B1-47D3-B67F-A62EFF666E3E}">
          <x14:id>{CB75EA23-AA8D-42F0-BE76-BBCE938B8EB0}</x14:id>
        </ext>
      </extLst>
    </cfRule>
  </conditionalFormatting>
  <conditionalFormatting sqref="E4:E33">
    <cfRule type="dataBar" priority="7">
      <dataBar showValue="1" minLength="10" maxLength="90">
        <cfvo type="min" val="0"/>
        <cfvo type="max" val="0"/>
        <color rgb="FFF59E0B"/>
      </dataBar>
      <extLst>
        <ext xmlns:x14="http://schemas.microsoft.com/office/spreadsheetml/2009/9/main" uri="{B025F937-C7B1-47D3-B67F-A62EFF666E3E}">
          <x14:id>{104BFFC0-4C88-4D56-814E-D0FBC4F454A8}</x14:id>
        </ext>
      </extLst>
    </cfRule>
  </conditionalFormatting>
  <conditionalFormatting sqref="F4:F33">
    <cfRule type="dataBar" priority="8">
      <dataBar showValue="1" minLength="10" maxLength="90">
        <cfvo type="min" val="0"/>
        <cfvo type="max" val="0"/>
        <color rgb="FFF59E0B"/>
      </dataBar>
      <extLst>
        <ext xmlns:x14="http://schemas.microsoft.com/office/spreadsheetml/2009/9/main" uri="{B025F937-C7B1-47D3-B67F-A62EFF666E3E}">
          <x14:id>{9DB8166C-98D8-4CAC-B3E4-95C36947EB26}</x14:id>
        </ext>
      </extLst>
    </cfRule>
  </conditionalFormatting>
  <conditionalFormatting sqref="G4:G33">
    <cfRule type="dataBar" priority="9">
      <dataBar showValue="1" minLength="10" maxLength="90">
        <cfvo type="min" val="0"/>
        <cfvo type="max" val="0"/>
        <color rgb="FFF59E0B"/>
      </dataBar>
      <extLst>
        <ext xmlns:x14="http://schemas.microsoft.com/office/spreadsheetml/2009/9/main" uri="{B025F937-C7B1-47D3-B67F-A62EFF666E3E}">
          <x14:id>{FD54F441-40A6-4B39-BBFF-538E68C2A3F0}</x14:id>
        </ext>
      </extLst>
    </cfRule>
  </conditionalFormatting>
  <conditionalFormatting sqref="H4:H33">
    <cfRule type="dataBar" priority="10">
      <dataBar showValue="1" minLength="10" maxLength="90">
        <cfvo type="min" val="0"/>
        <cfvo type="max" val="0"/>
        <color rgb="FFF59E0B"/>
      </dataBar>
      <extLst>
        <ext xmlns:x14="http://schemas.microsoft.com/office/spreadsheetml/2009/9/main" uri="{B025F937-C7B1-47D3-B67F-A62EFF666E3E}">
          <x14:id>{3CC260FC-4B19-443D-9C9F-FC61B483171B}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32AF010-67B5-47C6-927B-6D6E90F439FF}">
            <x14:dataBar minLength="10" maxLength="90" axisPosition="none" gradient="true">
              <x14:cfvo type="min"/>
              <x14:cfvo type="max"/>
              <x14:negativeFillColor rgb="FFF59E0B"/>
              <x14:axisColor rgb="FF000000"/>
            </x14:dataBar>
          </x14:cfRule>
          <xm:sqref>B4:B33</xm:sqref>
        </x14:conditionalFormatting>
        <x14:conditionalFormatting xmlns:xm="http://schemas.microsoft.com/office/excel/2006/main">
          <x14:cfRule type="dataBar" id="{BBE36778-B78E-4CBA-8837-3B1C7AC07511}">
            <x14:dataBar minLength="10" maxLength="90" axisPosition="none" gradient="true">
              <x14:cfvo type="min"/>
              <x14:cfvo type="max"/>
              <x14:negativeFillColor rgb="FFF59E0B"/>
              <x14:axisColor rgb="FF000000"/>
            </x14:dataBar>
          </x14:cfRule>
          <xm:sqref>C4:C33</xm:sqref>
        </x14:conditionalFormatting>
        <x14:conditionalFormatting xmlns:xm="http://schemas.microsoft.com/office/excel/2006/main">
          <x14:cfRule type="dataBar" id="{CB75EA23-AA8D-42F0-BE76-BBCE938B8EB0}">
            <x14:dataBar minLength="10" maxLength="90" axisPosition="none" gradient="true">
              <x14:cfvo type="min"/>
              <x14:cfvo type="max"/>
              <x14:negativeFillColor rgb="FFF59E0B"/>
              <x14:axisColor rgb="FF000000"/>
            </x14:dataBar>
          </x14:cfRule>
          <xm:sqref>D4:D33</xm:sqref>
        </x14:conditionalFormatting>
        <x14:conditionalFormatting xmlns:xm="http://schemas.microsoft.com/office/excel/2006/main">
          <x14:cfRule type="dataBar" id="{104BFFC0-4C88-4D56-814E-D0FBC4F454A8}">
            <x14:dataBar minLength="10" maxLength="90" axisPosition="none" gradient="true">
              <x14:cfvo type="min"/>
              <x14:cfvo type="max"/>
              <x14:negativeFillColor rgb="FFF59E0B"/>
              <x14:axisColor rgb="FF000000"/>
            </x14:dataBar>
          </x14:cfRule>
          <xm:sqref>E4:E33</xm:sqref>
        </x14:conditionalFormatting>
        <x14:conditionalFormatting xmlns:xm="http://schemas.microsoft.com/office/excel/2006/main">
          <x14:cfRule type="dataBar" id="{9DB8166C-98D8-4CAC-B3E4-95C36947EB26}">
            <x14:dataBar minLength="10" maxLength="90" axisPosition="none" gradient="true">
              <x14:cfvo type="min"/>
              <x14:cfvo type="max"/>
              <x14:negativeFillColor rgb="FFF59E0B"/>
              <x14:axisColor rgb="FF000000"/>
            </x14:dataBar>
          </x14:cfRule>
          <xm:sqref>F4:F33</xm:sqref>
        </x14:conditionalFormatting>
        <x14:conditionalFormatting xmlns:xm="http://schemas.microsoft.com/office/excel/2006/main">
          <x14:cfRule type="dataBar" id="{FD54F441-40A6-4B39-BBFF-538E68C2A3F0}">
            <x14:dataBar minLength="10" maxLength="90" axisPosition="none" gradient="true">
              <x14:cfvo type="min"/>
              <x14:cfvo type="max"/>
              <x14:negativeFillColor rgb="FFF59E0B"/>
              <x14:axisColor rgb="FF000000"/>
            </x14:dataBar>
          </x14:cfRule>
          <xm:sqref>G4:G33</xm:sqref>
        </x14:conditionalFormatting>
        <x14:conditionalFormatting xmlns:xm="http://schemas.microsoft.com/office/excel/2006/main">
          <x14:cfRule type="dataBar" id="{3CC260FC-4B19-443D-9C9F-FC61B483171B}">
            <x14:dataBar minLength="10" maxLength="90" axisPosition="none" gradient="true">
              <x14:cfvo type="min"/>
              <x14:cfvo type="max"/>
              <x14:negativeFillColor rgb="FFF59E0B"/>
              <x14:axisColor rgb="FF000000"/>
            </x14:dataBar>
          </x14:cfRule>
          <xm:sqref>H4:H33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2C55E"/>
    <pageSetUpPr fitToPage="false"/>
  </sheetPr>
  <dimension ref="A1:E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55"/>
    <col collapsed="false" customWidth="true" hidden="false" outlineLevel="0" max="3" min="3" style="0" width="14"/>
    <col collapsed="false" customWidth="true" hidden="false" outlineLevel="0" max="4" min="4" style="0" width="65"/>
  </cols>
  <sheetData>
    <row r="1" customFormat="false" ht="36" hidden="false" customHeight="true" outlineLevel="0" collapsed="false">
      <c r="A1" s="48" t="s">
        <v>73</v>
      </c>
      <c r="B1" s="48"/>
      <c r="C1" s="48"/>
      <c r="D1" s="48"/>
      <c r="E1" s="1"/>
    </row>
    <row r="2" customFormat="false" ht="27.75" hidden="false" customHeight="true" outlineLevel="0" collapsed="false">
      <c r="A2" s="82" t="s">
        <v>74</v>
      </c>
      <c r="B2" s="82" t="s">
        <v>75</v>
      </c>
      <c r="C2" s="82" t="s">
        <v>76</v>
      </c>
      <c r="D2" s="82" t="s">
        <v>77</v>
      </c>
      <c r="E2" s="1"/>
    </row>
    <row r="3" customFormat="false" ht="39.75" hidden="false" customHeight="true" outlineLevel="0" collapsed="false">
      <c r="A3" s="83" t="s">
        <v>78</v>
      </c>
      <c r="B3" s="84" t="s">
        <v>79</v>
      </c>
      <c r="C3" s="85" t="s">
        <v>80</v>
      </c>
      <c r="D3" s="86" t="s">
        <v>81</v>
      </c>
      <c r="E3" s="1"/>
    </row>
    <row r="4" customFormat="false" ht="39.75" hidden="false" customHeight="true" outlineLevel="0" collapsed="false">
      <c r="A4" s="87" t="s">
        <v>82</v>
      </c>
      <c r="B4" s="88" t="s">
        <v>83</v>
      </c>
      <c r="C4" s="89" t="s">
        <v>80</v>
      </c>
      <c r="D4" s="90" t="s">
        <v>84</v>
      </c>
      <c r="E4" s="1"/>
    </row>
    <row r="5" customFormat="false" ht="39.75" hidden="false" customHeight="true" outlineLevel="0" collapsed="false">
      <c r="A5" s="83" t="s">
        <v>85</v>
      </c>
      <c r="B5" s="84" t="s">
        <v>86</v>
      </c>
      <c r="C5" s="91" t="s">
        <v>87</v>
      </c>
      <c r="D5" s="86" t="s">
        <v>88</v>
      </c>
      <c r="E5" s="1"/>
    </row>
    <row r="6" customFormat="false" ht="39.75" hidden="false" customHeight="true" outlineLevel="0" collapsed="false">
      <c r="A6" s="87" t="s">
        <v>89</v>
      </c>
      <c r="B6" s="88" t="s">
        <v>90</v>
      </c>
      <c r="C6" s="89" t="s">
        <v>80</v>
      </c>
      <c r="D6" s="90" t="s">
        <v>91</v>
      </c>
      <c r="E6" s="1"/>
    </row>
    <row r="7" customFormat="false" ht="39.75" hidden="false" customHeight="true" outlineLevel="0" collapsed="false">
      <c r="A7" s="83" t="s">
        <v>92</v>
      </c>
      <c r="B7" s="84" t="s">
        <v>93</v>
      </c>
      <c r="C7" s="91" t="s">
        <v>87</v>
      </c>
      <c r="D7" s="86" t="s">
        <v>94</v>
      </c>
      <c r="E7" s="1"/>
    </row>
    <row r="8" customFormat="false" ht="39.75" hidden="false" customHeight="true" outlineLevel="0" collapsed="false">
      <c r="A8" s="87" t="s">
        <v>95</v>
      </c>
      <c r="B8" s="88" t="s">
        <v>96</v>
      </c>
      <c r="C8" s="89" t="s">
        <v>80</v>
      </c>
      <c r="D8" s="90" t="s">
        <v>97</v>
      </c>
      <c r="E8" s="1"/>
    </row>
    <row r="9" customFormat="false" ht="15" hidden="false" customHeight="false" outlineLevel="0" collapsed="false">
      <c r="A9" s="1"/>
      <c r="B9" s="1"/>
      <c r="C9" s="1"/>
      <c r="D9" s="1"/>
      <c r="E9" s="1"/>
    </row>
    <row r="10" customFormat="false" ht="15" hidden="false" customHeight="false" outlineLevel="0" collapsed="false">
      <c r="A10" s="1"/>
      <c r="B10" s="1"/>
      <c r="C10" s="1"/>
      <c r="D10" s="1"/>
      <c r="E10" s="1"/>
    </row>
    <row r="11" customFormat="false" ht="15" hidden="false" customHeight="false" outlineLevel="0" collapsed="false">
      <c r="A11" s="1"/>
      <c r="B11" s="1"/>
      <c r="C11" s="1"/>
      <c r="D11" s="1"/>
      <c r="E11" s="1"/>
    </row>
    <row r="12" customFormat="false" ht="15" hidden="false" customHeight="false" outlineLevel="0" collapsed="false">
      <c r="A12" s="1"/>
      <c r="B12" s="1"/>
      <c r="C12" s="1"/>
      <c r="D12" s="1"/>
      <c r="E12" s="1"/>
    </row>
    <row r="13" customFormat="false" ht="15" hidden="false" customHeight="false" outlineLevel="0" collapsed="false">
      <c r="A13" s="1"/>
      <c r="B13" s="1"/>
      <c r="C13" s="1"/>
      <c r="D13" s="1"/>
      <c r="E13" s="1"/>
    </row>
    <row r="14" customFormat="false" ht="15" hidden="false" customHeight="false" outlineLevel="0" collapsed="false">
      <c r="A14" s="1"/>
      <c r="B14" s="1"/>
      <c r="C14" s="1"/>
      <c r="D14" s="1"/>
      <c r="E14" s="1"/>
    </row>
    <row r="15" customFormat="false" ht="15" hidden="false" customHeight="false" outlineLevel="0" collapsed="false">
      <c r="A15" s="1"/>
      <c r="B15" s="1"/>
      <c r="C15" s="1"/>
      <c r="D15" s="1"/>
      <c r="E15" s="1"/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855F7"/>
    <pageSetUpPr fitToPage="false"/>
  </sheetPr>
  <dimension ref="A1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70"/>
    <col collapsed="false" customWidth="true" hidden="false" outlineLevel="0" max="3" min="3" style="0" width="16"/>
  </cols>
  <sheetData>
    <row r="1" customFormat="false" ht="36" hidden="false" customHeight="true" outlineLevel="0" collapsed="false">
      <c r="A1" s="48" t="s">
        <v>98</v>
      </c>
      <c r="B1" s="48"/>
      <c r="C1" s="48"/>
      <c r="D1" s="1"/>
    </row>
    <row r="2" customFormat="false" ht="27.75" hidden="false" customHeight="true" outlineLevel="0" collapsed="false">
      <c r="A2" s="92" t="s">
        <v>99</v>
      </c>
      <c r="B2" s="92" t="s">
        <v>100</v>
      </c>
      <c r="C2" s="92" t="s">
        <v>101</v>
      </c>
      <c r="D2" s="1"/>
    </row>
    <row r="3" customFormat="false" ht="48" hidden="false" customHeight="true" outlineLevel="0" collapsed="false">
      <c r="A3" s="83" t="s">
        <v>102</v>
      </c>
      <c r="B3" s="86" t="s">
        <v>103</v>
      </c>
      <c r="C3" s="91" t="s">
        <v>104</v>
      </c>
      <c r="D3" s="1"/>
    </row>
    <row r="4" customFormat="false" ht="48" hidden="false" customHeight="true" outlineLevel="0" collapsed="false">
      <c r="A4" s="87" t="s">
        <v>105</v>
      </c>
      <c r="B4" s="90" t="s">
        <v>106</v>
      </c>
      <c r="C4" s="93" t="s">
        <v>107</v>
      </c>
      <c r="D4" s="1"/>
    </row>
    <row r="5" customFormat="false" ht="48" hidden="false" customHeight="true" outlineLevel="0" collapsed="false">
      <c r="A5" s="83" t="s">
        <v>108</v>
      </c>
      <c r="B5" s="86" t="s">
        <v>109</v>
      </c>
      <c r="C5" s="94" t="s">
        <v>110</v>
      </c>
      <c r="D5" s="1"/>
    </row>
    <row r="6" customFormat="false" ht="48" hidden="false" customHeight="true" outlineLevel="0" collapsed="false">
      <c r="A6" s="87" t="s">
        <v>111</v>
      </c>
      <c r="B6" s="90" t="s">
        <v>112</v>
      </c>
      <c r="C6" s="95" t="s">
        <v>110</v>
      </c>
      <c r="D6" s="1"/>
    </row>
    <row r="7" customFormat="false" ht="48" hidden="false" customHeight="true" outlineLevel="0" collapsed="false">
      <c r="A7" s="83" t="s">
        <v>113</v>
      </c>
      <c r="B7" s="86" t="s">
        <v>114</v>
      </c>
      <c r="C7" s="96" t="s">
        <v>115</v>
      </c>
      <c r="D7" s="1"/>
    </row>
    <row r="8" customFormat="false" ht="48" hidden="false" customHeight="true" outlineLevel="0" collapsed="false">
      <c r="A8" s="87" t="s">
        <v>116</v>
      </c>
      <c r="B8" s="90" t="s">
        <v>117</v>
      </c>
      <c r="C8" s="97" t="s">
        <v>104</v>
      </c>
      <c r="D8" s="1"/>
    </row>
    <row r="9" customFormat="false" ht="48" hidden="false" customHeight="true" outlineLevel="0" collapsed="false">
      <c r="A9" s="83" t="s">
        <v>118</v>
      </c>
      <c r="B9" s="86" t="s">
        <v>119</v>
      </c>
      <c r="C9" s="98" t="s">
        <v>120</v>
      </c>
      <c r="D9" s="1"/>
    </row>
    <row r="10" customFormat="false" ht="15" hidden="false" customHeight="false" outlineLevel="0" collapsed="false">
      <c r="A10" s="1"/>
      <c r="B10" s="1"/>
      <c r="C10" s="1"/>
      <c r="D10" s="1"/>
    </row>
    <row r="11" customFormat="false" ht="27.75" hidden="false" customHeight="true" outlineLevel="0" collapsed="false">
      <c r="A11" s="99" t="s">
        <v>121</v>
      </c>
      <c r="B11" s="99"/>
      <c r="C11" s="99"/>
      <c r="D11" s="1"/>
    </row>
    <row r="12" customFormat="false" ht="15" hidden="false" customHeight="false" outlineLevel="0" collapsed="false">
      <c r="A12" s="1"/>
      <c r="B12" s="1"/>
      <c r="C12" s="1"/>
      <c r="D12" s="1"/>
    </row>
    <row r="13" customFormat="false" ht="15" hidden="false" customHeight="false" outlineLevel="0" collapsed="false">
      <c r="A13" s="1"/>
      <c r="B13" s="1"/>
      <c r="C13" s="1"/>
      <c r="D13" s="1"/>
    </row>
    <row r="14" customFormat="false" ht="15" hidden="false" customHeight="false" outlineLevel="0" collapsed="false">
      <c r="A14" s="1"/>
      <c r="B14" s="1"/>
      <c r="C14" s="1"/>
      <c r="D14" s="1"/>
    </row>
    <row r="15" customFormat="false" ht="15" hidden="false" customHeight="false" outlineLevel="0" collapsed="false">
      <c r="A15" s="1"/>
      <c r="B15" s="1"/>
      <c r="C15" s="1"/>
      <c r="D15" s="1"/>
    </row>
  </sheetData>
  <mergeCells count="2">
    <mergeCell ref="A1:C1"/>
    <mergeCell ref="A11:C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2026-03-12T11:20:04Z</dcterms:created>
  <dc:creator>openpyxl</dc:creator>
  <dc:description/>
  <dc:language>en-US</dc:language>
  <cp:lastModifiedBy/>
  <dcterms:modified xsi:type="dcterms:W3CDTF">2026-03-12T11:20:13Z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