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omantas.skupeika\Desktop\"/>
    </mc:Choice>
  </mc:AlternateContent>
  <xr:revisionPtr revIDLastSave="0" documentId="8_{C94BE61F-B16C-4C1F-8E7D-11886A13A059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Dashboard" sheetId="1" r:id="rId1"/>
    <sheet name="Daily Tracker" sheetId="2" r:id="rId2"/>
    <sheet name="Weekly Oil Bulletin" sheetId="3" r:id="rId3"/>
    <sheet name="Sources" sheetId="4" r:id="rId4"/>
    <sheet name="Automation" sheetId="5" r:id="rId5"/>
  </sheets>
  <calcPr calcId="181029" iterateDelta="1E-4"/>
</workbook>
</file>

<file path=xl/calcChain.xml><?xml version="1.0" encoding="utf-8"?>
<calcChain xmlns="http://schemas.openxmlformats.org/spreadsheetml/2006/main">
  <c r="O23" i="1" l="1"/>
  <c r="M23" i="1"/>
  <c r="K23" i="1"/>
  <c r="I23" i="1"/>
  <c r="G23" i="1"/>
  <c r="E23" i="1"/>
  <c r="C23" i="1"/>
  <c r="C19" i="1"/>
  <c r="O17" i="1"/>
  <c r="M17" i="1"/>
  <c r="K17" i="1"/>
  <c r="I17" i="1"/>
  <c r="G17" i="1"/>
  <c r="E17" i="1"/>
  <c r="C17" i="1"/>
  <c r="K13" i="1"/>
  <c r="G13" i="1"/>
  <c r="C13" i="1"/>
  <c r="O9" i="1"/>
  <c r="K9" i="1"/>
  <c r="G9" i="1"/>
  <c r="C9" i="1"/>
</calcChain>
</file>

<file path=xl/sharedStrings.xml><?xml version="1.0" encoding="utf-8"?>
<sst xmlns="http://schemas.openxmlformats.org/spreadsheetml/2006/main" count="224" uniqueCount="126">
  <si>
    <t>⛽  Fuel Price Tracker</t>
  </si>
  <si>
    <t>Wholesale &amp; Retail Diesel  ·  Daily &amp; Weekly Monitoring  ·  All prices EUR/litre incl. taxes</t>
  </si>
  <si>
    <t xml:space="preserve">  🇱🇹  ORLEN LT</t>
  </si>
  <si>
    <t xml:space="preserve">  🇵🇱  ORLEN PL → EUR</t>
  </si>
  <si>
    <t xml:space="preserve">  ⇄  Δ PL minus LT</t>
  </si>
  <si>
    <t xml:space="preserve">  🇩🇪  ELVIS FSC DE</t>
  </si>
  <si>
    <t>EUR / litre</t>
  </si>
  <si>
    <t>Spread EUR/l</t>
  </si>
  <si>
    <t>📊  EU WEEKLY OIL BULLETIN — LATEST DIESEL PRICES WITH TAXES</t>
  </si>
  <si>
    <t>🇱🇹 Lithuania</t>
  </si>
  <si>
    <t>🇱🇻 Latvia</t>
  </si>
  <si>
    <t>🇪🇪 Estonia</t>
  </si>
  <si>
    <t>🇩🇰 Denmark</t>
  </si>
  <si>
    <t>🇸🇪 Sweden</t>
  </si>
  <si>
    <t>🇫🇮 Finland</t>
  </si>
  <si>
    <t>🇪🇺 EU Average</t>
  </si>
  <si>
    <t>EUR/l</t>
  </si>
  <si>
    <t>COUNTRY COMPARISON CHART</t>
  </si>
  <si>
    <t>LT</t>
  </si>
  <si>
    <t>LV</t>
  </si>
  <si>
    <t>EE</t>
  </si>
  <si>
    <t>DK</t>
  </si>
  <si>
    <t>SE</t>
  </si>
  <si>
    <t>FI</t>
  </si>
  <si>
    <t>EU Avg</t>
  </si>
  <si>
    <t>📋  HOW TO USE</t>
  </si>
  <si>
    <t>1.</t>
  </si>
  <si>
    <t>Daily Tracker</t>
  </si>
  <si>
    <t>Enter prices in BLUE cells. Row 5 = newest. Formulas auto-convert PLN→EUR, SEK→EUR, and calculate PL vs LT delta.</t>
  </si>
  <si>
    <t>2.</t>
  </si>
  <si>
    <t>Weekly Oil Bulletin</t>
  </si>
  <si>
    <t>Every Monday, enter diesel prices from energy.ec.europa.eu → Prices with taxes → LT/LV/EE/DK/SE/FI + EU avg.</t>
  </si>
  <si>
    <t>3.</t>
  </si>
  <si>
    <t>Dashboard</t>
  </si>
  <si>
    <t>Updates automatically from both sheets. KPI cards pull the newest Daily row; EU section pulls the newest Weekly row.</t>
  </si>
  <si>
    <t>4.</t>
  </si>
  <si>
    <t>SharePoint</t>
  </si>
  <si>
    <t>Edit directly in browser — click 'Edit in Browser'. No download needed. All formatting preserved in Excel Online.</t>
  </si>
  <si>
    <t>⛽  Daily Fuel Prices</t>
  </si>
  <si>
    <t>🔵 Blue cells = manual input   ·   Formulas auto-calculate conversions and deltas   ·   Row 5 = most recent</t>
  </si>
  <si>
    <t>ORLEN PL — EKODIESEL</t>
  </si>
  <si>
    <t>ORLEN LT</t>
  </si>
  <si>
    <t>Δ PL vs LT</t>
  </si>
  <si>
    <t>ELVIS DE</t>
  </si>
  <si>
    <t>BSH / ST1 SE</t>
  </si>
  <si>
    <t>Date</t>
  </si>
  <si>
    <t>Day</t>
  </si>
  <si>
    <t>PLN/m³</t>
  </si>
  <si>
    <t>PLN/EUR</t>
  </si>
  <si>
    <t>Δ EUR/l</t>
  </si>
  <si>
    <t>Δ %</t>
  </si>
  <si>
    <t>SEK/l</t>
  </si>
  <si>
    <t>SEK/EUR</t>
  </si>
  <si>
    <t>Notes</t>
  </si>
  <si>
    <t>Freq</t>
  </si>
  <si>
    <t>Fri</t>
  </si>
  <si>
    <t>Auto: FX,PL,LT,DE,SE</t>
  </si>
  <si>
    <t>Auto</t>
  </si>
  <si>
    <t>Thu</t>
  </si>
  <si>
    <t>Auto: FX,PL,DE,SE</t>
  </si>
  <si>
    <t>Backfill</t>
  </si>
  <si>
    <t>Wed</t>
  </si>
  <si>
    <t>Tue</t>
  </si>
  <si>
    <t>Mon</t>
  </si>
  <si>
    <t>Auto: FX,DE</t>
  </si>
  <si>
    <t>Auto: FX</t>
  </si>
  <si>
    <t>📊  EU Weekly Oil Bulletin — Diesel Prices with Taxes</t>
  </si>
  <si>
    <t>Source: energy.ec.europa.eu   ·   Updated weekly (Monday)   ·   🔵 Blue cells = input   ·   Row 4 = most recent</t>
  </si>
  <si>
    <t>Week Start</t>
  </si>
  <si>
    <t>🇱🇹 LT</t>
  </si>
  <si>
    <t>🇱🇻 LV</t>
  </si>
  <si>
    <t>🇪🇪 EE</t>
  </si>
  <si>
    <t>🇩🇰 DK</t>
  </si>
  <si>
    <t>🇸🇪 SE</t>
  </si>
  <si>
    <t>🇫🇮 FI</t>
  </si>
  <si>
    <t>🇪🇺 EU Avg</t>
  </si>
  <si>
    <t>LT vs EU Δ</t>
  </si>
  <si>
    <t>📋  Data Sources &amp; Instructions</t>
  </si>
  <si>
    <t>Source</t>
  </si>
  <si>
    <t>URL</t>
  </si>
  <si>
    <t>Frequency</t>
  </si>
  <si>
    <t>Instructions</t>
  </si>
  <si>
    <t>Orlen PL — Ekodiesel</t>
  </si>
  <si>
    <t>https://www.orlen.pl/pl/dla-biznesu/hurtowe-ceny-paliw#paliwa-archive</t>
  </si>
  <si>
    <t>Daily</t>
  </si>
  <si>
    <t>Hurtowe ceny → Archiwum → Ekodiesel → PLN/m³. Enter in Daily Tracker col C. PLN/EUR from ECB.</t>
  </si>
  <si>
    <t>Orlen LT — Dyzelinas E</t>
  </si>
  <si>
    <t>https://www.orlenlietuva.lt/LT/Wholesale/Puslapiai/Kainu-protokolai.aspx</t>
  </si>
  <si>
    <t>Kainų protokolai → Juodeikių terminalas → Dyzelinas E kl. su RRME → kaina su akcizu ir PVM → col F.</t>
  </si>
  <si>
    <t>EU Weekly Oil Bulletin</t>
  </si>
  <si>
    <t>https://energy.ec.europa.eu/data-and-analysis/weekly-oil-bulletin_en</t>
  </si>
  <si>
    <t>Weekly</t>
  </si>
  <si>
    <t>Download 'Prices with taxes' → diesel → LT/LV/EE/DK/SE/FI + EU avg → Weekly Oil Bulletin sheet.</t>
  </si>
  <si>
    <t>Elvis FSC (DE)</t>
  </si>
  <si>
    <t>https://www.mehr-tanken.de/aktuelle-spritpreise/</t>
  </si>
  <si>
    <t>Aktuelle Spritpreise → Diesel → EUR/l → Daily Tracker col I. No conversion needed.</t>
  </si>
  <si>
    <t>BSH / ST1 (SE)</t>
  </si>
  <si>
    <t>https://st1.se/foretag/listpris</t>
  </si>
  <si>
    <t>Företag → Listpris → Diesel SEK/l → col J. SEK/EUR in col K. EUR auto-calc col L.</t>
  </si>
  <si>
    <t>FX Rates (ECB)</t>
  </si>
  <si>
    <t>https://www.ecb.europa.eu/stats/exchange/eurofxref/</t>
  </si>
  <si>
    <t>PLN/EUR → col D. SEK/EUR → col K. API alternative: frankfurter.app (free, no auth).</t>
  </si>
  <si>
    <t>🤖  Automation Strategy</t>
  </si>
  <si>
    <t>Approach</t>
  </si>
  <si>
    <t>Description</t>
  </si>
  <si>
    <t>Complexity</t>
  </si>
  <si>
    <t>Power Automate (Cloud)</t>
  </si>
  <si>
    <t>Scheduled flow → HTTP connector → parse response → write to SharePoint list or Excel via Graph API. Best for stable HTML/CSV sources (EU Oil Bulletin).</t>
  </si>
  <si>
    <t>Medium</t>
  </si>
  <si>
    <t>Power Automate Desktop</t>
  </si>
  <si>
    <t>Browser RPA for sites blocking HTTP scraping (Orlen PL, ST1). Records browser actions → extracts data → writes to Excel/SharePoint.</t>
  </si>
  <si>
    <t>Medium-High</t>
  </si>
  <si>
    <t>EU Oil Bulletin (CSV)</t>
  </si>
  <si>
    <t>Direct XLS/CSV download available. Power Automate HTTP trigger Monday → download → parse → update Weekly sheet.</t>
  </si>
  <si>
    <t>Low ✅</t>
  </si>
  <si>
    <t>FX Rates (ECB API)</t>
  </si>
  <si>
    <t>frankfurter.app — free, no auth. Daily GET request returns PLN/EUR, SEK/EUR as JSON.</t>
  </si>
  <si>
    <t>Manual PDF → Extract</t>
  </si>
  <si>
    <t>For PDF-only sources (Orlen LT kainų protokolai): download → AI Builder extracts table → writes to tracker.</t>
  </si>
  <si>
    <t>Low-Medium</t>
  </si>
  <si>
    <t>SharePoint List Backend</t>
  </si>
  <si>
    <t>Store data in SP List columns instead of Excel. PA writes rows. Better for multi-user concurrent editing.</t>
  </si>
  <si>
    <t>Python + Azure Function</t>
  </si>
  <si>
    <t>Most flexible: Python script with requests/selenium → parse → push via Graph API. Timer triggered.</t>
  </si>
  <si>
    <t>High</t>
  </si>
  <si>
    <t>💡  START HERE: EU Oil Bulletin (CSV) + FX Rates API = low effort, high value. Automates weekly EU data + daily exchange rates.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</si>
</sst>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yyyy\-mm\-dd"/>
    <numFmt numFmtId="166" formatCode="0.0000"/>
    <numFmt numFmtId="170" formatCode="\+0.000;\-0.000;&quot;-&quot;"/>
    <numFmt numFmtId="171" formatCode="\+0.0%;\-0.0%;&quot;-&quot;"/>
  </numFmts>
  <fonts count="35" x14ac:knownFonts="1">
    <font>
      <sz val="11"/>
      <color theme="1"/>
      <name val="Calibri"/>
      <family val="2"/>
      <charset val="1"/>
    </font>
    <font>
      <b/>
      <sz val="20"/>
      <color rgb="FF1E3A5F"/>
      <name val="Aptos"/>
      <charset val="1"/>
    </font>
    <font>
      <sz val="9"/>
      <color rgb="FF9CA3AF"/>
      <name val="Aptos"/>
      <charset val="1"/>
    </font>
    <font>
      <b/>
      <sz val="9"/>
      <color rgb="FF0E7490"/>
      <name val="Aptos"/>
      <charset val="1"/>
    </font>
    <font>
      <b/>
      <sz val="9"/>
      <color rgb="FFC2410C"/>
      <name val="Aptos"/>
      <charset val="1"/>
    </font>
    <font>
      <b/>
      <sz val="9"/>
      <color rgb="FFB45309"/>
      <name val="Aptos"/>
      <charset val="1"/>
    </font>
    <font>
      <b/>
      <sz val="9"/>
      <color rgb="FF7C3AED"/>
      <name val="Aptos"/>
      <charset val="1"/>
    </font>
    <font>
      <b/>
      <sz val="26"/>
      <color rgb="FF0E7490"/>
      <name val="Aptos"/>
      <charset val="1"/>
    </font>
    <font>
      <b/>
      <sz val="26"/>
      <color rgb="FFC2410C"/>
      <name val="Aptos"/>
      <charset val="1"/>
    </font>
    <font>
      <b/>
      <sz val="26"/>
      <color rgb="FFB45309"/>
      <name val="Aptos"/>
      <charset val="1"/>
    </font>
    <font>
      <b/>
      <sz val="26"/>
      <color rgb="FF7C3AED"/>
      <name val="Aptos"/>
      <charset val="1"/>
    </font>
    <font>
      <sz val="8"/>
      <color rgb="FF9CA3AF"/>
      <name val="Aptos"/>
      <charset val="1"/>
    </font>
    <font>
      <b/>
      <sz val="10"/>
      <color rgb="FF0F766E"/>
      <name val="Aptos"/>
      <charset val="1"/>
    </font>
    <font>
      <b/>
      <sz val="10"/>
      <color rgb="FFB45309"/>
      <name val="Aptos"/>
      <charset val="1"/>
    </font>
    <font>
      <b/>
      <sz val="11"/>
      <color rgb="FF1E3A5F"/>
      <name val="Aptos"/>
      <charset val="1"/>
    </font>
    <font>
      <b/>
      <sz val="9"/>
      <color rgb="FF6B7280"/>
      <name val="Aptos"/>
      <charset val="1"/>
    </font>
    <font>
      <b/>
      <sz val="18"/>
      <color rgb="FF1F2937"/>
      <name val="Aptos"/>
      <charset val="1"/>
    </font>
    <font>
      <b/>
      <sz val="10"/>
      <color rgb="FF1E3A5F"/>
      <name val="Aptos"/>
      <charset val="1"/>
    </font>
    <font>
      <sz val="8"/>
      <color rgb="FF1F2937"/>
      <name val="Aptos"/>
      <charset val="1"/>
    </font>
    <font>
      <b/>
      <sz val="9"/>
      <color rgb="FF3B82F6"/>
      <name val="Aptos"/>
      <charset val="1"/>
    </font>
    <font>
      <b/>
      <sz val="9"/>
      <color rgb="FF1F2937"/>
      <name val="Aptos"/>
      <charset val="1"/>
    </font>
    <font>
      <sz val="9"/>
      <color rgb="FF6B7280"/>
      <name val="Aptos"/>
      <charset val="1"/>
    </font>
    <font>
      <b/>
      <sz val="16"/>
      <color rgb="FF1E3A5F"/>
      <name val="Aptos"/>
      <charset val="1"/>
    </font>
    <font>
      <b/>
      <sz val="8"/>
      <color rgb="FFFFFFFF"/>
      <name val="Aptos"/>
      <charset val="1"/>
    </font>
    <font>
      <b/>
      <sz val="10"/>
      <color rgb="FF1F2937"/>
      <name val="Aptos"/>
      <charset val="1"/>
    </font>
    <font>
      <sz val="9"/>
      <color rgb="FF1D4ED8"/>
      <name val="Aptos"/>
      <charset val="1"/>
    </font>
    <font>
      <b/>
      <sz val="9"/>
      <color rgb="FF15803D"/>
      <name val="Aptos"/>
      <charset val="1"/>
    </font>
    <font>
      <b/>
      <sz val="9"/>
      <color rgb="FF0F766E"/>
      <name val="Aptos"/>
      <charset val="1"/>
    </font>
    <font>
      <b/>
      <sz val="9"/>
      <color rgb="FFB91C1C"/>
      <name val="Aptos"/>
      <charset val="1"/>
    </font>
    <font>
      <b/>
      <sz val="10"/>
      <color rgb="FF15803D"/>
      <name val="Aptos"/>
      <charset val="1"/>
    </font>
    <font>
      <b/>
      <sz val="10"/>
      <color rgb="FF1F2937"/>
      <name val="Aptos"/>
    </font>
    <font>
      <sz val="9"/>
      <color rgb="FF6B7280"/>
      <name val="Aptos"/>
    </font>
    <font>
      <sz val="10"/>
      <color rgb="FF1D4ED8"/>
      <name val="Aptos"/>
    </font>
    <font>
      <sz val="10"/>
      <color rgb="FF1F2937"/>
      <name val="Aptos"/>
    </font>
    <font>
      <sz val="8"/>
      <color rgb="FF9CA3AF"/>
      <name val="Aptos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DCFCE7"/>
        <bgColor rgb="FFECFEFF"/>
      </patternFill>
    </fill>
    <fill>
      <patternFill patternType="solid">
        <fgColor rgb="FFEFF6FF"/>
      </patternFill>
    </fill>
  </fills>
  <borders count="21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3" borderId="2" xfId="0" applyFill="1" applyBorder="1"/>
    <xf numFmtId="0" fontId="0" fillId="4" borderId="3" xfId="0" applyFill="1" applyBorder="1"/>
    <xf numFmtId="0" fontId="0" fillId="5" borderId="4" xfId="0" applyFill="1" applyBorder="1"/>
    <xf numFmtId="0" fontId="0" fillId="6" borderId="5" xfId="0" applyFill="1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1" fillId="2" borderId="0" xfId="0" applyFont="1" applyFill="1" applyAlignment="1">
      <alignment horizontal="center" vertical="center"/>
    </xf>
    <xf numFmtId="164" fontId="18" fillId="2" borderId="0" xfId="0" applyNumberFormat="1" applyFont="1" applyFill="1"/>
    <xf numFmtId="0" fontId="19" fillId="2" borderId="0" xfId="0" applyFont="1" applyFill="1"/>
    <xf numFmtId="164" fontId="19" fillId="2" borderId="0" xfId="0" applyNumberFormat="1" applyFont="1" applyFill="1"/>
    <xf numFmtId="0" fontId="23" fillId="13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5" fillId="8" borderId="16" xfId="0" applyFont="1" applyFill="1" applyBorder="1" applyAlignment="1">
      <alignment horizontal="center" vertical="center" wrapText="1"/>
    </xf>
    <xf numFmtId="0" fontId="15" fillId="8" borderId="18" xfId="0" applyFont="1" applyFill="1" applyBorder="1" applyAlignment="1">
      <alignment horizontal="center" vertical="center" wrapText="1"/>
    </xf>
    <xf numFmtId="0" fontId="15" fillId="8" borderId="16" xfId="0" applyFont="1" applyFill="1" applyBorder="1" applyAlignment="1">
      <alignment horizontal="center" vertical="center"/>
    </xf>
    <xf numFmtId="0" fontId="24" fillId="10" borderId="17" xfId="0" applyFont="1" applyFill="1" applyBorder="1" applyAlignment="1">
      <alignment horizontal="left" vertical="center" wrapText="1"/>
    </xf>
    <xf numFmtId="0" fontId="25" fillId="10" borderId="17" xfId="0" applyFont="1" applyFill="1" applyBorder="1" applyAlignment="1">
      <alignment horizontal="left" vertical="center" wrapText="1"/>
    </xf>
    <xf numFmtId="0" fontId="3" fillId="10" borderId="17" xfId="0" applyFont="1" applyFill="1" applyBorder="1" applyAlignment="1">
      <alignment horizontal="center" vertical="center"/>
    </xf>
    <xf numFmtId="0" fontId="21" fillId="10" borderId="17" xfId="0" applyFont="1" applyFill="1" applyBorder="1" applyAlignment="1">
      <alignment horizontal="left" vertical="center" wrapText="1"/>
    </xf>
    <xf numFmtId="0" fontId="24" fillId="2" borderId="17" xfId="0" applyFont="1" applyFill="1" applyBorder="1" applyAlignment="1">
      <alignment horizontal="left" vertical="center" wrapText="1"/>
    </xf>
    <xf numFmtId="0" fontId="25" fillId="2" borderId="17" xfId="0" applyFont="1" applyFill="1" applyBorder="1" applyAlignment="1">
      <alignment horizontal="left" vertical="center" wrapText="1"/>
    </xf>
    <xf numFmtId="0" fontId="3" fillId="2" borderId="17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left" vertical="center" wrapText="1"/>
    </xf>
    <xf numFmtId="0" fontId="5" fillId="10" borderId="17" xfId="0" applyFont="1" applyFill="1" applyBorder="1" applyAlignment="1">
      <alignment horizontal="center" vertical="center"/>
    </xf>
    <xf numFmtId="0" fontId="15" fillId="8" borderId="19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26" fillId="10" borderId="17" xfId="0" applyFont="1" applyFill="1" applyBorder="1" applyAlignment="1">
      <alignment horizontal="center" vertical="center"/>
    </xf>
    <xf numFmtId="0" fontId="26" fillId="2" borderId="17" xfId="0" applyFont="1" applyFill="1" applyBorder="1" applyAlignment="1">
      <alignment horizontal="center" vertical="center"/>
    </xf>
    <xf numFmtId="0" fontId="27" fillId="10" borderId="17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28" fillId="10" borderId="17" xfId="0" applyFont="1" applyFill="1" applyBorder="1" applyAlignment="1">
      <alignment horizontal="center" vertical="center"/>
    </xf>
    <xf numFmtId="165" fontId="30" fillId="0" borderId="20" xfId="0" applyNumberFormat="1" applyFont="1" applyBorder="1" applyAlignment="1">
      <alignment horizontal="center" vertical="center"/>
    </xf>
    <xf numFmtId="0" fontId="31" fillId="0" borderId="20" xfId="0" applyFont="1" applyBorder="1" applyAlignment="1">
      <alignment horizontal="center" vertical="center"/>
    </xf>
    <xf numFmtId="4" fontId="32" fillId="18" borderId="20" xfId="0" applyNumberFormat="1" applyFont="1" applyFill="1" applyBorder="1" applyAlignment="1">
      <alignment horizontal="right" vertical="center"/>
    </xf>
    <xf numFmtId="166" fontId="32" fillId="18" borderId="20" xfId="0" applyNumberFormat="1" applyFont="1" applyFill="1" applyBorder="1" applyAlignment="1">
      <alignment horizontal="right" vertical="center"/>
    </xf>
    <xf numFmtId="164" fontId="33" fillId="0" borderId="20" xfId="0" applyNumberFormat="1" applyFont="1" applyBorder="1" applyAlignment="1">
      <alignment horizontal="right" vertical="center"/>
    </xf>
    <xf numFmtId="164" fontId="32" fillId="18" borderId="20" xfId="0" applyNumberFormat="1" applyFont="1" applyFill="1" applyBorder="1" applyAlignment="1">
      <alignment horizontal="right" vertical="center"/>
    </xf>
    <xf numFmtId="170" fontId="33" fillId="0" borderId="20" xfId="0" applyNumberFormat="1" applyFont="1" applyBorder="1" applyAlignment="1">
      <alignment horizontal="right" vertical="center"/>
    </xf>
    <xf numFmtId="171" fontId="33" fillId="0" borderId="20" xfId="0" applyNumberFormat="1" applyFont="1" applyBorder="1" applyAlignment="1">
      <alignment horizontal="right" vertical="center"/>
    </xf>
    <xf numFmtId="2" fontId="32" fillId="18" borderId="20" xfId="0" applyNumberFormat="1" applyFont="1" applyFill="1" applyBorder="1" applyAlignment="1">
      <alignment horizontal="right" vertical="center"/>
    </xf>
    <xf numFmtId="0" fontId="31" fillId="0" borderId="20" xfId="0" applyFont="1" applyBorder="1" applyAlignment="1">
      <alignment horizontal="right" vertical="center"/>
    </xf>
    <xf numFmtId="0" fontId="34" fillId="0" borderId="20" xfId="0" applyFont="1" applyBorder="1" applyAlignment="1">
      <alignment horizontal="right" vertical="center"/>
    </xf>
    <xf numFmtId="165" fontId="30" fillId="0" borderId="0" xfId="0" applyNumberFormat="1" applyFont="1"/>
    <xf numFmtId="164" fontId="32" fillId="0" borderId="0" xfId="0" applyNumberFormat="1" applyFont="1"/>
    <xf numFmtId="171" fontId="0" fillId="0" borderId="0" xfId="0" applyNumberFormat="1"/>
    <xf numFmtId="0" fontId="15" fillId="10" borderId="0" xfId="0" applyFont="1" applyFill="1" applyAlignment="1">
      <alignment horizontal="center" vertical="center"/>
    </xf>
    <xf numFmtId="0" fontId="0" fillId="0" borderId="0" xfId="0"/>
    <xf numFmtId="0" fontId="11" fillId="4" borderId="0" xfId="0" applyFont="1" applyFill="1" applyAlignment="1">
      <alignment horizontal="center" vertical="center"/>
    </xf>
    <xf numFmtId="0" fontId="13" fillId="5" borderId="7" xfId="0" applyFont="1" applyFill="1" applyBorder="1" applyAlignment="1">
      <alignment horizontal="center" vertical="center"/>
    </xf>
    <xf numFmtId="0" fontId="0" fillId="0" borderId="7" xfId="0" applyBorder="1"/>
    <xf numFmtId="0" fontId="21" fillId="2" borderId="0" xfId="0" applyFont="1" applyFill="1" applyAlignment="1">
      <alignment horizontal="left" vertical="center"/>
    </xf>
    <xf numFmtId="164" fontId="7" fillId="3" borderId="0" xfId="0" applyNumberFormat="1" applyFont="1" applyFill="1" applyAlignment="1">
      <alignment horizontal="center" vertical="center"/>
    </xf>
    <xf numFmtId="164" fontId="21" fillId="2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left" vertical="center"/>
    </xf>
    <xf numFmtId="164" fontId="16" fillId="2" borderId="10" xfId="0" applyNumberFormat="1" applyFont="1" applyFill="1" applyBorder="1" applyAlignment="1">
      <alignment horizontal="center" vertical="center"/>
    </xf>
    <xf numFmtId="0" fontId="0" fillId="0" borderId="10" xfId="0" applyBorder="1"/>
    <xf numFmtId="164" fontId="16" fillId="2" borderId="11" xfId="0" applyNumberFormat="1" applyFont="1" applyFill="1" applyBorder="1" applyAlignment="1">
      <alignment horizontal="center" vertical="center"/>
    </xf>
    <xf numFmtId="0" fontId="0" fillId="0" borderId="11" xfId="0" applyBorder="1"/>
    <xf numFmtId="0" fontId="2" fillId="8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17" fillId="8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164" fontId="20" fillId="2" borderId="0" xfId="0" applyNumberFormat="1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center" vertical="center"/>
    </xf>
    <xf numFmtId="0" fontId="12" fillId="7" borderId="6" xfId="0" applyFont="1" applyFill="1" applyBorder="1" applyAlignment="1">
      <alignment horizontal="center" vertical="center"/>
    </xf>
    <xf numFmtId="0" fontId="0" fillId="0" borderId="6" xfId="0" applyBorder="1"/>
    <xf numFmtId="0" fontId="17" fillId="9" borderId="0" xfId="0" applyFont="1" applyFill="1" applyAlignment="1">
      <alignment horizontal="left" vertical="center"/>
    </xf>
    <xf numFmtId="164" fontId="8" fillId="4" borderId="0" xfId="0" applyNumberFormat="1" applyFont="1" applyFill="1" applyAlignment="1">
      <alignment horizontal="center" vertical="center"/>
    </xf>
    <xf numFmtId="164" fontId="16" fillId="2" borderId="9" xfId="0" applyNumberFormat="1" applyFont="1" applyFill="1" applyBorder="1" applyAlignment="1">
      <alignment horizontal="center" vertical="center"/>
    </xf>
    <xf numFmtId="0" fontId="0" fillId="0" borderId="9" xfId="0" applyBorder="1"/>
    <xf numFmtId="164" fontId="16" fillId="2" borderId="12" xfId="0" applyNumberFormat="1" applyFont="1" applyFill="1" applyBorder="1" applyAlignment="1">
      <alignment horizontal="center" vertical="center"/>
    </xf>
    <xf numFmtId="0" fontId="0" fillId="0" borderId="12" xfId="0" applyBorder="1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center" vertical="center"/>
    </xf>
    <xf numFmtId="164" fontId="16" fillId="2" borderId="13" xfId="0" applyNumberFormat="1" applyFont="1" applyFill="1" applyBorder="1" applyAlignment="1">
      <alignment horizontal="center" vertical="center"/>
    </xf>
    <xf numFmtId="0" fontId="0" fillId="0" borderId="13" xfId="0" applyBorder="1"/>
    <xf numFmtId="164" fontId="16" fillId="2" borderId="14" xfId="0" applyNumberFormat="1" applyFont="1" applyFill="1" applyBorder="1" applyAlignment="1">
      <alignment horizontal="center" vertical="center"/>
    </xf>
    <xf numFmtId="0" fontId="0" fillId="0" borderId="14" xfId="0" applyBorder="1"/>
    <xf numFmtId="164" fontId="16" fillId="2" borderId="15" xfId="0" applyNumberFormat="1" applyFont="1" applyFill="1" applyBorder="1" applyAlignment="1">
      <alignment horizontal="center" vertical="center"/>
    </xf>
    <xf numFmtId="0" fontId="0" fillId="0" borderId="15" xfId="0" applyBorder="1"/>
    <xf numFmtId="0" fontId="14" fillId="9" borderId="8" xfId="0" applyFont="1" applyFill="1" applyBorder="1" applyAlignment="1">
      <alignment horizontal="center" vertical="center"/>
    </xf>
    <xf numFmtId="0" fontId="0" fillId="0" borderId="8" xfId="0" applyBorder="1"/>
    <xf numFmtId="164" fontId="9" fillId="5" borderId="0" xfId="0" applyNumberFormat="1" applyFont="1" applyFill="1" applyAlignment="1">
      <alignment horizontal="center" vertical="center"/>
    </xf>
    <xf numFmtId="164" fontId="10" fillId="6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12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4" borderId="0" xfId="0" applyFont="1" applyFill="1" applyAlignment="1">
      <alignment horizontal="center" vertical="center"/>
    </xf>
    <xf numFmtId="0" fontId="22" fillId="2" borderId="0" xfId="0" applyFont="1" applyFill="1" applyAlignment="1">
      <alignment horizontal="left" vertical="center"/>
    </xf>
    <xf numFmtId="0" fontId="29" fillId="17" borderId="0" xfId="0" applyFont="1" applyFill="1" applyAlignment="1">
      <alignment horizontal="left" vertical="center" wrapText="1"/>
    </xf>
  </cellXfs>
  <cellStyles count="1">
    <cellStyle name="Normal" xfId="0" builtinId="0"/>
  </cellStyles>
  <dxfs count="4">
    <dxf>
      <font>
        <b/>
        <color rgb="FFB91C1C"/>
      </font>
      <fill>
        <patternFill>
          <bgColor rgb="FFFEE2E2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B91C1C"/>
      </font>
      <fill>
        <patternFill>
          <bgColor rgb="FFFEE2E2"/>
        </patternFill>
      </fill>
    </dxf>
    <dxf>
      <font>
        <b/>
        <color rgb="FF15803D"/>
      </font>
      <fill>
        <patternFill>
          <bgColor rgb="FFDCFCE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F97316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472-4E0E-9DD5-87FDA660B4D0}"/>
              </c:ext>
            </c:extLst>
          </c:dPt>
          <c:dPt>
            <c:idx val="1"/>
            <c:invertIfNegative val="0"/>
            <c:bubble3D val="0"/>
            <c:spPr>
              <a:solidFill>
                <a:srgbClr val="06B6D4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472-4E0E-9DD5-87FDA660B4D0}"/>
              </c:ext>
            </c:extLst>
          </c:dPt>
          <c:dPt>
            <c:idx val="2"/>
            <c:invertIfNegative val="0"/>
            <c:bubble3D val="0"/>
            <c:spPr>
              <a:solidFill>
                <a:srgbClr val="A855F7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472-4E0E-9DD5-87FDA660B4D0}"/>
              </c:ext>
            </c:extLst>
          </c:dPt>
          <c:dPt>
            <c:idx val="3"/>
            <c:invertIfNegative val="0"/>
            <c:bubble3D val="0"/>
            <c:spPr>
              <a:solidFill>
                <a:srgbClr val="14B8A6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472-4E0E-9DD5-87FDA660B4D0}"/>
              </c:ext>
            </c:extLst>
          </c:dPt>
          <c:dPt>
            <c:idx val="4"/>
            <c:invertIfNegative val="0"/>
            <c:bubble3D val="0"/>
            <c:spPr>
              <a:solidFill>
                <a:srgbClr val="F59E0B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472-4E0E-9DD5-87FDA660B4D0}"/>
              </c:ext>
            </c:extLst>
          </c:dPt>
          <c:dPt>
            <c:idx val="5"/>
            <c:invertIfNegative val="0"/>
            <c:bubble3D val="0"/>
            <c:spPr>
              <a:solidFill>
                <a:srgbClr val="22C55E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472-4E0E-9DD5-87FDA660B4D0}"/>
              </c:ext>
            </c:extLst>
          </c:dPt>
          <c:dPt>
            <c:idx val="6"/>
            <c:invertIfNegative val="0"/>
            <c:bubble3D val="0"/>
            <c:spPr>
              <a:solidFill>
                <a:srgbClr val="3B82F6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472-4E0E-9DD5-87FDA660B4D0}"/>
              </c:ext>
            </c:extLst>
          </c:dPt>
          <c:dLbls>
            <c:dLbl>
              <c:idx val="0"/>
              <c:spPr/>
              <c:txPr>
                <a:bodyPr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lt-LT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E472-4E0E-9DD5-87FDA660B4D0}"/>
                </c:ext>
              </c:extLst>
            </c:dLbl>
            <c:dLbl>
              <c:idx val="1"/>
              <c:spPr/>
              <c:txPr>
                <a:bodyPr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lt-LT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E472-4E0E-9DD5-87FDA660B4D0}"/>
                </c:ext>
              </c:extLst>
            </c:dLbl>
            <c:dLbl>
              <c:idx val="2"/>
              <c:spPr/>
              <c:txPr>
                <a:bodyPr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lt-LT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E472-4E0E-9DD5-87FDA660B4D0}"/>
                </c:ext>
              </c:extLst>
            </c:dLbl>
            <c:dLbl>
              <c:idx val="3"/>
              <c:spPr/>
              <c:txPr>
                <a:bodyPr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lt-LT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E472-4E0E-9DD5-87FDA660B4D0}"/>
                </c:ext>
              </c:extLst>
            </c:dLbl>
            <c:dLbl>
              <c:idx val="4"/>
              <c:spPr/>
              <c:txPr>
                <a:bodyPr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lt-LT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9-E472-4E0E-9DD5-87FDA660B4D0}"/>
                </c:ext>
              </c:extLst>
            </c:dLbl>
            <c:dLbl>
              <c:idx val="5"/>
              <c:spPr/>
              <c:txPr>
                <a:bodyPr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lt-LT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B-E472-4E0E-9DD5-87FDA660B4D0}"/>
                </c:ext>
              </c:extLst>
            </c:dLbl>
            <c:dLbl>
              <c:idx val="6"/>
              <c:spPr/>
              <c:txPr>
                <a:bodyPr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lt-LT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D-E472-4E0E-9DD5-87FDA660B4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lt-L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Dashboard!$C$40:$I$40</c:f>
              <c:strCache>
                <c:ptCount val="4"/>
                <c:pt idx="0">
                  <c:v>2.</c:v>
                </c:pt>
                <c:pt idx="1">
                  <c:v>Weekly Oil Bulletin</c:v>
                </c:pt>
                <c:pt idx="3">
                  <c:v>Every Monday, enter diesel prices from energy.ec.europa.eu → Prices with taxes → LT/LV/EE/DK/SE/FI + EU avg.</c:v>
                </c:pt>
              </c:strCache>
            </c:strRef>
          </c:cat>
          <c:val>
            <c:numRef>
              <c:f>Dashboard!$C$41:$I$41</c:f>
              <c:numCache>
                <c:formatCode>0.000</c:formatCode>
                <c:ptCount val="7"/>
                <c:pt idx="0">
                  <c:v>0</c:v>
                </c:pt>
                <c:pt idx="1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472-4E0E-9DD5-87FDA660B4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350935"/>
        <c:axId val="88387361"/>
      </c:barChart>
      <c:catAx>
        <c:axId val="31350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lt-LT"/>
          </a:p>
        </c:txPr>
        <c:crossAx val="88387361"/>
        <c:crosses val="autoZero"/>
        <c:auto val="1"/>
        <c:lblAlgn val="ctr"/>
        <c:lblOffset val="100"/>
        <c:noMultiLvlLbl val="0"/>
      </c:catAx>
      <c:valAx>
        <c:axId val="8838736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lt-LT"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lt-LT"/>
          </a:p>
        </c:txPr>
        <c:crossAx val="31350935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21</xdr:row>
      <xdr:rowOff>0</xdr:rowOff>
    </xdr:from>
    <xdr:to>
      <xdr:col>14</xdr:col>
      <xdr:colOff>141120</xdr:colOff>
      <xdr:row>41</xdr:row>
      <xdr:rowOff>137880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B82F6"/>
  </sheetPr>
  <dimension ref="A1:R54"/>
  <sheetViews>
    <sheetView showGridLines="0" tabSelected="1" zoomScale="90" zoomScaleNormal="90" workbookViewId="0"/>
  </sheetViews>
  <sheetFormatPr defaultColWidth="8.6640625" defaultRowHeight="14.4" x14ac:dyDescent="0.3"/>
  <cols>
    <col min="1" max="2" width="2" customWidth="1"/>
    <col min="3" max="3" width="18" customWidth="1"/>
    <col min="4" max="4" width="15" customWidth="1"/>
    <col min="5" max="5" width="12" customWidth="1"/>
    <col min="6" max="6" width="2" customWidth="1"/>
    <col min="7" max="7" width="18" customWidth="1"/>
    <col min="8" max="8" width="15" customWidth="1"/>
    <col min="9" max="9" width="12" customWidth="1"/>
    <col min="10" max="10" width="2" customWidth="1"/>
    <col min="11" max="11" width="18" customWidth="1"/>
    <col min="12" max="12" width="15" customWidth="1"/>
    <col min="13" max="13" width="12" customWidth="1"/>
    <col min="14" max="14" width="2" customWidth="1"/>
    <col min="15" max="15" width="18" customWidth="1"/>
    <col min="16" max="16" width="15" customWidth="1"/>
    <col min="17" max="17" width="12" customWidth="1"/>
    <col min="18" max="18" width="2" customWidth="1"/>
  </cols>
  <sheetData>
    <row r="1" spans="1:18" ht="1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12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42" customHeight="1" x14ac:dyDescent="0.3">
      <c r="A3" s="1"/>
      <c r="B3" s="1"/>
      <c r="C3" s="79" t="s">
        <v>0</v>
      </c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1"/>
    </row>
    <row r="4" spans="1:18" ht="18" customHeight="1" x14ac:dyDescent="0.3">
      <c r="A4" s="1"/>
      <c r="B4" s="1"/>
      <c r="C4" s="80" t="s">
        <v>1</v>
      </c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1"/>
    </row>
    <row r="5" spans="1:18" ht="6" customHeight="1" x14ac:dyDescent="0.3">
      <c r="A5" s="1"/>
      <c r="B5" s="1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1"/>
    </row>
    <row r="6" spans="1:18" ht="6" customHeight="1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6" customHeight="1" x14ac:dyDescent="0.3">
      <c r="A7" s="1"/>
      <c r="B7" s="1"/>
      <c r="C7" s="3"/>
      <c r="D7" s="3"/>
      <c r="E7" s="3"/>
      <c r="F7" s="1"/>
      <c r="G7" s="4"/>
      <c r="H7" s="4"/>
      <c r="I7" s="4"/>
      <c r="J7" s="1"/>
      <c r="K7" s="5"/>
      <c r="L7" s="5"/>
      <c r="M7" s="5"/>
      <c r="N7" s="1"/>
      <c r="O7" s="6"/>
      <c r="P7" s="6"/>
      <c r="Q7" s="6"/>
      <c r="R7" s="1"/>
    </row>
    <row r="8" spans="1:18" ht="18" customHeight="1" x14ac:dyDescent="0.3">
      <c r="A8" s="1"/>
      <c r="B8" s="1"/>
      <c r="C8" s="67" t="s">
        <v>2</v>
      </c>
      <c r="D8" s="51"/>
      <c r="E8" s="51"/>
      <c r="F8" s="1"/>
      <c r="G8" s="92" t="s">
        <v>3</v>
      </c>
      <c r="H8" s="51"/>
      <c r="I8" s="51"/>
      <c r="J8" s="1"/>
      <c r="K8" s="65" t="s">
        <v>4</v>
      </c>
      <c r="L8" s="51"/>
      <c r="M8" s="51"/>
      <c r="N8" s="1"/>
      <c r="O8" s="69" t="s">
        <v>5</v>
      </c>
      <c r="P8" s="51"/>
      <c r="Q8" s="51"/>
      <c r="R8" s="1"/>
    </row>
    <row r="9" spans="1:18" ht="39.75" customHeight="1" x14ac:dyDescent="0.3">
      <c r="A9" s="1"/>
      <c r="B9" s="1"/>
      <c r="C9" s="56">
        <f>IF('Daily Tracker'!F5&lt;&gt;"",'Daily Tracker'!F5,"—")</f>
        <v>1.7561</v>
      </c>
      <c r="D9" s="51"/>
      <c r="E9" s="51"/>
      <c r="F9" s="1"/>
      <c r="G9" s="74">
        <f>IF('Daily Tracker'!E5&lt;&gt;"",'Daily Tracker'!E5,"—")</f>
        <v>1.5028999999999999</v>
      </c>
      <c r="H9" s="51"/>
      <c r="I9" s="51"/>
      <c r="J9" s="1"/>
      <c r="K9" s="90">
        <f>IF('Daily Tracker'!G5&lt;&gt;"",'Daily Tracker'!G5,"—")</f>
        <v>-0.25319999999999998</v>
      </c>
      <c r="L9" s="51"/>
      <c r="M9" s="51"/>
      <c r="N9" s="1"/>
      <c r="O9" s="91">
        <f>IF('Daily Tracker'!I5&lt;&gt;"",'Daily Tracker'!I5,"—")</f>
        <v>2.1280000000000001</v>
      </c>
      <c r="P9" s="51"/>
      <c r="Q9" s="51"/>
      <c r="R9" s="1"/>
    </row>
    <row r="10" spans="1:18" ht="18" customHeight="1" x14ac:dyDescent="0.3">
      <c r="A10" s="1"/>
      <c r="B10" s="1"/>
      <c r="C10" s="93" t="s">
        <v>6</v>
      </c>
      <c r="D10" s="51"/>
      <c r="E10" s="51"/>
      <c r="F10" s="1"/>
      <c r="G10" s="52" t="s">
        <v>6</v>
      </c>
      <c r="H10" s="51"/>
      <c r="I10" s="51"/>
      <c r="J10" s="1"/>
      <c r="K10" s="70" t="s">
        <v>7</v>
      </c>
      <c r="L10" s="51"/>
      <c r="M10" s="51"/>
      <c r="N10" s="1"/>
      <c r="O10" s="81" t="s">
        <v>6</v>
      </c>
      <c r="P10" s="51"/>
      <c r="Q10" s="51"/>
      <c r="R10" s="1"/>
    </row>
    <row r="11" spans="1:18" ht="6" customHeight="1" x14ac:dyDescent="0.3">
      <c r="A11" s="1"/>
      <c r="B11" s="1"/>
      <c r="C11" s="7"/>
      <c r="D11" s="7"/>
      <c r="E11" s="7"/>
      <c r="F11" s="1"/>
      <c r="G11" s="8"/>
      <c r="H11" s="8"/>
      <c r="I11" s="8"/>
      <c r="J11" s="1"/>
      <c r="K11" s="9"/>
      <c r="L11" s="9"/>
      <c r="M11" s="9"/>
      <c r="N11" s="1"/>
      <c r="O11" s="10"/>
      <c r="P11" s="10"/>
      <c r="Q11" s="10"/>
      <c r="R11" s="1"/>
    </row>
    <row r="12" spans="1:18" ht="6" customHeight="1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24" customHeight="1" x14ac:dyDescent="0.3">
      <c r="A13" s="1"/>
      <c r="B13" s="1"/>
      <c r="C13" s="71" t="str">
        <f>IF('Daily Tracker'!L5&lt;&gt;"","BSH/ST1 SE: "&amp;TEXT('Daily Tracker'!L5,"0.000")&amp;" EUR/l","")</f>
        <v>BSH/ST1 SE: 0.002 EUR/l</v>
      </c>
      <c r="D13" s="72"/>
      <c r="E13" s="72"/>
      <c r="F13" s="1"/>
      <c r="G13" s="53" t="str">
        <f>IF(AND('Daily Tracker'!E5&lt;&gt;"",'Daily Tracker'!F5&lt;&gt;""),"PL vs LT: "&amp;TEXT(('Daily Tracker'!E5-'Daily Tracker'!F5)/'Daily Tracker'!F5,"+0.0%;-0.0%"),"")</f>
        <v>PL vs LT: -1.4%</v>
      </c>
      <c r="H13" s="54"/>
      <c r="I13" s="54"/>
      <c r="J13" s="1"/>
      <c r="K13" s="64" t="str">
        <f>"Latest daily entry: "&amp;TEXT('Daily Tracker'!A5,"YYYY-MM-DD")</f>
        <v>Latest daily entry: 2026-03-13</v>
      </c>
      <c r="L13" s="51"/>
      <c r="M13" s="51"/>
      <c r="N13" s="51"/>
      <c r="O13" s="51"/>
      <c r="P13" s="51"/>
      <c r="Q13" s="51"/>
      <c r="R13" s="1"/>
    </row>
    <row r="14" spans="1:18" ht="15" customHeight="1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30" customHeight="1" x14ac:dyDescent="0.3">
      <c r="A15" s="1"/>
      <c r="B15" s="1"/>
      <c r="C15" s="88" t="s">
        <v>8</v>
      </c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1"/>
    </row>
    <row r="16" spans="1:18" ht="21.75" customHeight="1" x14ac:dyDescent="0.3">
      <c r="A16" s="1"/>
      <c r="B16" s="1"/>
      <c r="C16" s="50" t="s">
        <v>9</v>
      </c>
      <c r="D16" s="51"/>
      <c r="E16" s="50" t="s">
        <v>10</v>
      </c>
      <c r="F16" s="51"/>
      <c r="G16" s="50" t="s">
        <v>11</v>
      </c>
      <c r="H16" s="51"/>
      <c r="I16" s="50" t="s">
        <v>12</v>
      </c>
      <c r="J16" s="51"/>
      <c r="K16" s="50" t="s">
        <v>13</v>
      </c>
      <c r="L16" s="51"/>
      <c r="M16" s="50" t="s">
        <v>14</v>
      </c>
      <c r="N16" s="51"/>
      <c r="O16" s="50" t="s">
        <v>15</v>
      </c>
      <c r="P16" s="51"/>
      <c r="Q16" s="1"/>
      <c r="R16" s="1"/>
    </row>
    <row r="17" spans="1:18" ht="36" customHeight="1" x14ac:dyDescent="0.3">
      <c r="A17" s="1"/>
      <c r="B17" s="1"/>
      <c r="C17" s="75">
        <f>IF('Weekly Oil Bulletin'!B4&lt;&gt;"",'Weekly Oil Bulletin'!B4,"")</f>
        <v>1.901</v>
      </c>
      <c r="D17" s="76"/>
      <c r="E17" s="60">
        <f>IF('Weekly Oil Bulletin'!C4&lt;&gt;"",'Weekly Oil Bulletin'!C4,"")</f>
        <v>1.7929999999999999</v>
      </c>
      <c r="F17" s="61"/>
      <c r="G17" s="62">
        <f>IF('Weekly Oil Bulletin'!D4&lt;&gt;"",'Weekly Oil Bulletin'!D4,"")</f>
        <v>1.6879999999999999</v>
      </c>
      <c r="H17" s="63"/>
      <c r="I17" s="77">
        <f>IF('Weekly Oil Bulletin'!E4&lt;&gt;"",'Weekly Oil Bulletin'!E4,"")</f>
        <v>2.1150000000000002</v>
      </c>
      <c r="J17" s="78"/>
      <c r="K17" s="82">
        <f>IF('Weekly Oil Bulletin'!F4&lt;&gt;"",'Weekly Oil Bulletin'!F4,"")</f>
        <v>1.7829999999999999</v>
      </c>
      <c r="L17" s="83"/>
      <c r="M17" s="84">
        <f>IF('Weekly Oil Bulletin'!G4&lt;&gt;"",'Weekly Oil Bulletin'!G4,"")</f>
        <v>2.0419999999999998</v>
      </c>
      <c r="N17" s="85"/>
      <c r="O17" s="86">
        <f>IF('Weekly Oil Bulletin'!H4&lt;&gt;"",'Weekly Oil Bulletin'!H4,"")</f>
        <v>1.748</v>
      </c>
      <c r="P17" s="87"/>
      <c r="Q17" s="1"/>
      <c r="R17" s="1"/>
    </row>
    <row r="18" spans="1:18" ht="15.75" customHeight="1" x14ac:dyDescent="0.3">
      <c r="A18" s="1"/>
      <c r="B18" s="1"/>
      <c r="C18" s="58" t="s">
        <v>16</v>
      </c>
      <c r="D18" s="51"/>
      <c r="E18" s="58" t="s">
        <v>16</v>
      </c>
      <c r="F18" s="51"/>
      <c r="G18" s="58" t="s">
        <v>16</v>
      </c>
      <c r="H18" s="51"/>
      <c r="I18" s="58" t="s">
        <v>16</v>
      </c>
      <c r="J18" s="51"/>
      <c r="K18" s="58" t="s">
        <v>16</v>
      </c>
      <c r="L18" s="51"/>
      <c r="M18" s="58" t="s">
        <v>16</v>
      </c>
      <c r="N18" s="51"/>
      <c r="O18" s="58" t="s">
        <v>16</v>
      </c>
      <c r="P18" s="51"/>
      <c r="Q18" s="1"/>
      <c r="R18" s="1"/>
    </row>
    <row r="19" spans="1:18" ht="15.75" customHeight="1" x14ac:dyDescent="0.3">
      <c r="A19" s="1"/>
      <c r="B19" s="1"/>
      <c r="C19" s="58" t="str">
        <f>IF('Weekly Oil Bulletin'!A4&lt;&gt;"","Data from week of "&amp;TEXT('Weekly Oil Bulletin'!A4,"YYYY-MM-DD")&amp;"  ·  Source: EC Weekly Oil Bulletin","")</f>
        <v>Data from week of 2026-03-09  ·  Source: EC Weekly Oil Bulletin</v>
      </c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1"/>
      <c r="R19" s="1"/>
    </row>
    <row r="20" spans="1:18" ht="15" customHeight="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24" customHeight="1" x14ac:dyDescent="0.3">
      <c r="A21" s="1"/>
      <c r="B21" s="1"/>
      <c r="C21" s="66" t="s">
        <v>17</v>
      </c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1"/>
    </row>
    <row r="22" spans="1:18" ht="15" customHeight="1" x14ac:dyDescent="0.3">
      <c r="A22" s="1"/>
      <c r="B22" s="1"/>
      <c r="C22" s="11" t="s">
        <v>18</v>
      </c>
      <c r="D22" s="1"/>
      <c r="E22" s="11" t="s">
        <v>19</v>
      </c>
      <c r="F22" s="1"/>
      <c r="G22" s="11" t="s">
        <v>20</v>
      </c>
      <c r="H22" s="1"/>
      <c r="I22" s="11" t="s">
        <v>21</v>
      </c>
      <c r="J22" s="1"/>
      <c r="K22" s="11" t="s">
        <v>22</v>
      </c>
      <c r="L22" s="1"/>
      <c r="M22" s="11" t="s">
        <v>23</v>
      </c>
      <c r="N22" s="1"/>
      <c r="O22" s="11" t="s">
        <v>24</v>
      </c>
      <c r="P22" s="1"/>
      <c r="Q22" s="1"/>
      <c r="R22" s="1"/>
    </row>
    <row r="23" spans="1:18" ht="15" customHeight="1" x14ac:dyDescent="0.3">
      <c r="A23" s="1"/>
      <c r="B23" s="1"/>
      <c r="C23" s="12">
        <f>'Weekly Oil Bulletin'!B4</f>
        <v>1.901</v>
      </c>
      <c r="D23" s="1"/>
      <c r="E23" s="12">
        <f>'Weekly Oil Bulletin'!C4</f>
        <v>1.7929999999999999</v>
      </c>
      <c r="F23" s="1"/>
      <c r="G23" s="12">
        <f>'Weekly Oil Bulletin'!D4</f>
        <v>1.6879999999999999</v>
      </c>
      <c r="H23" s="1"/>
      <c r="I23" s="12">
        <f>'Weekly Oil Bulletin'!E4</f>
        <v>2.1150000000000002</v>
      </c>
      <c r="J23" s="1"/>
      <c r="K23" s="12">
        <f>'Weekly Oil Bulletin'!F4</f>
        <v>1.7829999999999999</v>
      </c>
      <c r="L23" s="1"/>
      <c r="M23" s="12">
        <f>'Weekly Oil Bulletin'!G4</f>
        <v>2.0419999999999998</v>
      </c>
      <c r="N23" s="1"/>
      <c r="O23" s="12">
        <f>'Weekly Oil Bulletin'!H4</f>
        <v>1.748</v>
      </c>
      <c r="P23" s="1"/>
      <c r="Q23" s="1"/>
      <c r="R23" s="1"/>
    </row>
    <row r="24" spans="1:18" ht="15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 ht="15" customHeigh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 ht="15" customHeigh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 ht="15" customHeight="1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 ht="1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 ht="1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 ht="1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 ht="1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 ht="1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 ht="15" customHeight="1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 ht="15" customHeight="1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 ht="15" customHeight="1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 ht="1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 ht="1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 ht="24" customHeight="1" x14ac:dyDescent="0.3">
      <c r="A38" s="1"/>
      <c r="B38" s="1"/>
      <c r="C38" s="73" t="s">
        <v>25</v>
      </c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1"/>
    </row>
    <row r="39" spans="1:18" ht="21.75" customHeight="1" x14ac:dyDescent="0.3">
      <c r="A39" s="1"/>
      <c r="B39" s="1"/>
      <c r="C39" s="13" t="s">
        <v>26</v>
      </c>
      <c r="D39" s="59" t="s">
        <v>27</v>
      </c>
      <c r="E39" s="51"/>
      <c r="F39" s="55" t="s">
        <v>28</v>
      </c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1"/>
    </row>
    <row r="40" spans="1:18" ht="21.75" customHeight="1" x14ac:dyDescent="0.3">
      <c r="A40" s="1"/>
      <c r="B40" s="1"/>
      <c r="C40" s="13" t="s">
        <v>29</v>
      </c>
      <c r="D40" s="59" t="s">
        <v>30</v>
      </c>
      <c r="E40" s="51"/>
      <c r="F40" s="55" t="s">
        <v>31</v>
      </c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1"/>
    </row>
    <row r="41" spans="1:18" ht="21.75" customHeight="1" x14ac:dyDescent="0.3">
      <c r="A41" s="1"/>
      <c r="B41" s="1"/>
      <c r="C41" s="14" t="s">
        <v>32</v>
      </c>
      <c r="D41" s="68" t="s">
        <v>33</v>
      </c>
      <c r="E41" s="51"/>
      <c r="F41" s="57" t="s">
        <v>34</v>
      </c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1"/>
    </row>
    <row r="42" spans="1:18" ht="21.75" customHeight="1" x14ac:dyDescent="0.3">
      <c r="A42" s="1"/>
      <c r="B42" s="1"/>
      <c r="C42" s="13" t="s">
        <v>35</v>
      </c>
      <c r="D42" s="59" t="s">
        <v>36</v>
      </c>
      <c r="E42" s="51"/>
      <c r="F42" s="55" t="s">
        <v>37</v>
      </c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1"/>
    </row>
    <row r="43" spans="1:18" ht="1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 ht="1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 ht="1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 ht="1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 ht="1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 ht="1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 ht="1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spans="1:18" ht="1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</sheetData>
  <mergeCells count="50">
    <mergeCell ref="D39:E39"/>
    <mergeCell ref="O17:P17"/>
    <mergeCell ref="C15:Q15"/>
    <mergeCell ref="E16:F16"/>
    <mergeCell ref="D42:E42"/>
    <mergeCell ref="G16:H16"/>
    <mergeCell ref="F40:Q40"/>
    <mergeCell ref="E18:F18"/>
    <mergeCell ref="K18:L18"/>
    <mergeCell ref="C3:Q3"/>
    <mergeCell ref="C4:Q4"/>
    <mergeCell ref="O10:Q10"/>
    <mergeCell ref="K17:L17"/>
    <mergeCell ref="M17:N17"/>
    <mergeCell ref="K9:M9"/>
    <mergeCell ref="O9:Q9"/>
    <mergeCell ref="G8:I8"/>
    <mergeCell ref="C10:E10"/>
    <mergeCell ref="K8:M8"/>
    <mergeCell ref="C21:Q21"/>
    <mergeCell ref="C16:D16"/>
    <mergeCell ref="I16:J16"/>
    <mergeCell ref="C8:E8"/>
    <mergeCell ref="O8:Q8"/>
    <mergeCell ref="G18:H18"/>
    <mergeCell ref="I18:J18"/>
    <mergeCell ref="M16:N16"/>
    <mergeCell ref="O16:P16"/>
    <mergeCell ref="K10:M10"/>
    <mergeCell ref="C13:E13"/>
    <mergeCell ref="G9:I9"/>
    <mergeCell ref="M18:N18"/>
    <mergeCell ref="C17:D17"/>
    <mergeCell ref="I17:J17"/>
    <mergeCell ref="K16:L16"/>
    <mergeCell ref="G10:I10"/>
    <mergeCell ref="G13:I13"/>
    <mergeCell ref="F42:Q42"/>
    <mergeCell ref="C9:E9"/>
    <mergeCell ref="F41:Q41"/>
    <mergeCell ref="O18:P18"/>
    <mergeCell ref="C19:P19"/>
    <mergeCell ref="D40:E40"/>
    <mergeCell ref="E17:F17"/>
    <mergeCell ref="C18:D18"/>
    <mergeCell ref="G17:H17"/>
    <mergeCell ref="K13:Q13"/>
    <mergeCell ref="D41:E41"/>
    <mergeCell ref="F39:Q39"/>
    <mergeCell ref="C38:Q3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6B6D4"/>
  </sheetPr>
  <dimension ref="A1:O69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K8" sqref="K8"/>
    </sheetView>
  </sheetViews>
  <sheetFormatPr defaultColWidth="8.6640625" defaultRowHeight="14.4" x14ac:dyDescent="0.3"/>
  <cols>
    <col min="1" max="1" width="12" customWidth="1"/>
    <col min="2" max="2" width="5" customWidth="1"/>
    <col min="3" max="3" width="12" customWidth="1"/>
    <col min="4" max="4" width="10" customWidth="1"/>
    <col min="5" max="6" width="11" customWidth="1"/>
    <col min="7" max="7" width="10" customWidth="1"/>
    <col min="8" max="8" width="8" customWidth="1"/>
    <col min="9" max="10" width="11" customWidth="1"/>
    <col min="11" max="11" width="10" customWidth="1"/>
    <col min="12" max="12" width="11" customWidth="1"/>
    <col min="13" max="13" width="20" customWidth="1"/>
    <col min="14" max="14" width="8" customWidth="1"/>
  </cols>
  <sheetData>
    <row r="1" spans="1:15" ht="36" customHeight="1" x14ac:dyDescent="0.3">
      <c r="A1" s="98" t="s">
        <v>38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1"/>
    </row>
    <row r="2" spans="1:15" ht="18" customHeight="1" x14ac:dyDescent="0.3">
      <c r="A2" s="80" t="s">
        <v>39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1"/>
    </row>
    <row r="3" spans="1:15" ht="21.75" customHeight="1" x14ac:dyDescent="0.3">
      <c r="A3" s="96"/>
      <c r="B3" s="51"/>
      <c r="C3" s="95" t="s">
        <v>40</v>
      </c>
      <c r="D3" s="51"/>
      <c r="E3" s="51"/>
      <c r="F3" s="15" t="s">
        <v>41</v>
      </c>
      <c r="G3" s="97" t="s">
        <v>42</v>
      </c>
      <c r="H3" s="51"/>
      <c r="I3" s="16" t="s">
        <v>43</v>
      </c>
      <c r="J3" s="94" t="s">
        <v>44</v>
      </c>
      <c r="K3" s="51"/>
      <c r="L3" s="51"/>
      <c r="M3" s="96"/>
      <c r="N3" s="51"/>
      <c r="O3" s="1"/>
    </row>
    <row r="4" spans="1:15" ht="31.5" customHeight="1" x14ac:dyDescent="0.3">
      <c r="A4" s="17" t="s">
        <v>45</v>
      </c>
      <c r="B4" s="17" t="s">
        <v>46</v>
      </c>
      <c r="C4" s="17" t="s">
        <v>47</v>
      </c>
      <c r="D4" s="17" t="s">
        <v>48</v>
      </c>
      <c r="E4" s="17" t="s">
        <v>16</v>
      </c>
      <c r="F4" s="17" t="s">
        <v>16</v>
      </c>
      <c r="G4" s="17" t="s">
        <v>49</v>
      </c>
      <c r="H4" s="17" t="s">
        <v>50</v>
      </c>
      <c r="I4" s="17" t="s">
        <v>16</v>
      </c>
      <c r="J4" s="17" t="s">
        <v>51</v>
      </c>
      <c r="K4" s="17" t="s">
        <v>52</v>
      </c>
      <c r="L4" s="17" t="s">
        <v>16</v>
      </c>
      <c r="M4" s="17" t="s">
        <v>53</v>
      </c>
      <c r="N4" s="17" t="s">
        <v>54</v>
      </c>
      <c r="O4" s="1"/>
    </row>
    <row r="5" spans="1:15" ht="21.75" customHeight="1" x14ac:dyDescent="0.3">
      <c r="A5" s="36">
        <v>46094.304971808917</v>
      </c>
      <c r="B5" s="37" t="s">
        <v>55</v>
      </c>
      <c r="C5" s="38">
        <v>6399</v>
      </c>
      <c r="D5" s="39">
        <v>4.2577999999999996</v>
      </c>
      <c r="E5" s="40">
        <v>1.5028999999999999</v>
      </c>
      <c r="F5" s="41">
        <v>1.7561</v>
      </c>
      <c r="G5" s="42">
        <v>-0.25319999999999998</v>
      </c>
      <c r="H5" s="43">
        <v>-0.14419999999999999</v>
      </c>
      <c r="I5" s="41">
        <v>2.1280000000000001</v>
      </c>
      <c r="J5" s="44">
        <v>21.04</v>
      </c>
      <c r="K5" s="39">
        <v>10.710800000000001</v>
      </c>
      <c r="L5" s="40">
        <v>1.9643999999999999</v>
      </c>
      <c r="M5" s="45" t="s">
        <v>56</v>
      </c>
      <c r="N5" s="46" t="s">
        <v>57</v>
      </c>
    </row>
    <row r="6" spans="1:15" ht="21.75" customHeight="1" x14ac:dyDescent="0.3">
      <c r="A6" s="36">
        <v>46093.30496681713</v>
      </c>
      <c r="B6" s="37" t="s">
        <v>58</v>
      </c>
      <c r="C6" s="38">
        <v>6192</v>
      </c>
      <c r="D6" s="39">
        <v>4.2577999999999996</v>
      </c>
      <c r="E6" s="40">
        <v>1.5028999999999999</v>
      </c>
      <c r="F6" s="41"/>
      <c r="G6" s="42"/>
      <c r="H6" s="43"/>
      <c r="I6" s="41"/>
      <c r="J6" s="44">
        <v>20.49</v>
      </c>
      <c r="K6" s="39">
        <v>10.710800000000001</v>
      </c>
      <c r="L6" s="40">
        <v>1.9643999999999999</v>
      </c>
      <c r="M6" s="45" t="s">
        <v>59</v>
      </c>
      <c r="N6" s="46" t="s">
        <v>60</v>
      </c>
    </row>
    <row r="7" spans="1:15" ht="21.75" customHeight="1" x14ac:dyDescent="0.3">
      <c r="A7" s="36">
        <v>46092.30496681713</v>
      </c>
      <c r="B7" s="37" t="s">
        <v>61</v>
      </c>
      <c r="C7" s="38">
        <v>6195</v>
      </c>
      <c r="D7" s="39">
        <v>4.2523</v>
      </c>
      <c r="E7" s="40">
        <v>1.5047999999999999</v>
      </c>
      <c r="F7" s="41"/>
      <c r="G7" s="42"/>
      <c r="H7" s="43"/>
      <c r="I7" s="41">
        <v>2.137</v>
      </c>
      <c r="J7" s="44">
        <v>21.59</v>
      </c>
      <c r="K7" s="39">
        <v>10.654299999999999</v>
      </c>
      <c r="L7" s="40">
        <v>1.9748000000000001</v>
      </c>
      <c r="M7" s="45" t="s">
        <v>59</v>
      </c>
      <c r="N7" s="46" t="s">
        <v>60</v>
      </c>
    </row>
    <row r="8" spans="1:15" ht="21.75" customHeight="1" x14ac:dyDescent="0.3">
      <c r="A8" s="36">
        <v>46091.30496681713</v>
      </c>
      <c r="B8" s="37" t="s">
        <v>62</v>
      </c>
      <c r="C8" s="38">
        <v>6359</v>
      </c>
      <c r="D8" s="39">
        <v>4.2548000000000004</v>
      </c>
      <c r="E8" s="40">
        <v>1.4945473347748426</v>
      </c>
      <c r="F8" s="41">
        <v>1.8080000000000001</v>
      </c>
      <c r="G8" s="42"/>
      <c r="H8" s="43"/>
      <c r="I8" s="41">
        <v>2.198</v>
      </c>
      <c r="J8" s="44">
        <v>21.59</v>
      </c>
      <c r="K8" s="39">
        <v>10.606</v>
      </c>
      <c r="L8" s="40">
        <v>1.9838</v>
      </c>
      <c r="M8" s="45" t="s">
        <v>59</v>
      </c>
      <c r="N8" s="46" t="s">
        <v>60</v>
      </c>
    </row>
    <row r="9" spans="1:15" ht="21.75" customHeight="1" x14ac:dyDescent="0.3">
      <c r="A9" s="36">
        <v>46090.30496681713</v>
      </c>
      <c r="B9" s="37" t="s">
        <v>63</v>
      </c>
      <c r="C9" s="38"/>
      <c r="D9" s="39">
        <v>4.2785000000000002</v>
      </c>
      <c r="E9" s="40"/>
      <c r="F9" s="41">
        <v>1.792</v>
      </c>
      <c r="G9" s="42"/>
      <c r="H9" s="43"/>
      <c r="I9" s="41">
        <v>2.1749999999999998</v>
      </c>
      <c r="J9" s="44">
        <v>20.99</v>
      </c>
      <c r="K9" s="39">
        <v>10.6945</v>
      </c>
      <c r="L9" s="40">
        <v>1.9626911029033614</v>
      </c>
      <c r="M9" s="45" t="s">
        <v>64</v>
      </c>
      <c r="N9" s="46" t="s">
        <v>60</v>
      </c>
    </row>
    <row r="10" spans="1:15" ht="21.75" customHeight="1" x14ac:dyDescent="0.3">
      <c r="A10" s="36">
        <v>46087.30496681713</v>
      </c>
      <c r="B10" s="37" t="s">
        <v>55</v>
      </c>
      <c r="C10" s="38">
        <v>6150</v>
      </c>
      <c r="D10" s="39">
        <v>4.2874999999999996</v>
      </c>
      <c r="E10" s="40">
        <v>1.434402332361516</v>
      </c>
      <c r="F10" s="41">
        <v>1.845</v>
      </c>
      <c r="G10" s="42"/>
      <c r="H10" s="43"/>
      <c r="I10" s="41">
        <v>2.089</v>
      </c>
      <c r="J10" s="44">
        <v>19.940000000000001</v>
      </c>
      <c r="K10" s="39">
        <v>10.693</v>
      </c>
      <c r="L10" s="40">
        <v>1.864771345740204</v>
      </c>
      <c r="M10" s="45" t="s">
        <v>64</v>
      </c>
      <c r="N10" s="46" t="s">
        <v>60</v>
      </c>
    </row>
    <row r="11" spans="1:15" ht="21.75" customHeight="1" x14ac:dyDescent="0.3">
      <c r="A11" s="36">
        <v>46086.30496681713</v>
      </c>
      <c r="B11" s="37" t="s">
        <v>58</v>
      </c>
      <c r="C11" s="38">
        <v>5760</v>
      </c>
      <c r="D11" s="39">
        <v>4.2725</v>
      </c>
      <c r="E11" s="40">
        <v>1.3481568168519602</v>
      </c>
      <c r="F11" s="41">
        <v>1.734</v>
      </c>
      <c r="G11" s="42"/>
      <c r="H11" s="43"/>
      <c r="I11" s="41">
        <v>2.0550000000000002</v>
      </c>
      <c r="J11" s="44">
        <v>19.940000000000001</v>
      </c>
      <c r="K11" s="39">
        <v>10.688499999999999</v>
      </c>
      <c r="L11" s="40">
        <v>1.8655564391635873</v>
      </c>
      <c r="M11" s="45" t="s">
        <v>65</v>
      </c>
      <c r="N11" s="46" t="s">
        <v>60</v>
      </c>
    </row>
    <row r="12" spans="1:15" ht="21.75" customHeight="1" x14ac:dyDescent="0.3">
      <c r="A12" s="36">
        <v>46085.30496681713</v>
      </c>
      <c r="B12" s="37" t="s">
        <v>61</v>
      </c>
      <c r="C12" s="38">
        <v>5681</v>
      </c>
      <c r="D12" s="39">
        <v>4.2587999999999999</v>
      </c>
      <c r="E12" s="40">
        <v>1.3339438339438341</v>
      </c>
      <c r="F12" s="41">
        <v>1.738</v>
      </c>
      <c r="G12" s="42"/>
      <c r="H12" s="43"/>
      <c r="I12" s="41">
        <v>2.0110000000000001</v>
      </c>
      <c r="J12" s="44">
        <v>18.64</v>
      </c>
      <c r="K12" s="39">
        <v>10.6785</v>
      </c>
      <c r="L12" s="40">
        <v>1.74556351547502</v>
      </c>
      <c r="M12" s="45" t="s">
        <v>65</v>
      </c>
      <c r="N12" s="46" t="s">
        <v>60</v>
      </c>
    </row>
    <row r="13" spans="1:15" ht="21.75" customHeight="1" x14ac:dyDescent="0.3">
      <c r="A13" s="36">
        <v>46084.30496681713</v>
      </c>
      <c r="B13" s="37" t="s">
        <v>62</v>
      </c>
      <c r="C13" s="38">
        <v>5237</v>
      </c>
      <c r="D13" s="39">
        <v>4.2865000000000002</v>
      </c>
      <c r="E13" s="40">
        <v>1.2217426805085734</v>
      </c>
      <c r="F13" s="41">
        <v>1.619</v>
      </c>
      <c r="G13" s="42"/>
      <c r="H13" s="43"/>
      <c r="I13" s="41">
        <v>1.9159999999999999</v>
      </c>
      <c r="J13" s="44">
        <v>17.34</v>
      </c>
      <c r="K13" s="39">
        <v>10.7265</v>
      </c>
      <c r="L13" s="40">
        <v>1.6165571248776396</v>
      </c>
      <c r="M13" s="45" t="s">
        <v>65</v>
      </c>
      <c r="N13" s="46" t="s">
        <v>60</v>
      </c>
    </row>
    <row r="14" spans="1:15" ht="21.75" customHeight="1" x14ac:dyDescent="0.3">
      <c r="A14" s="36">
        <v>46083.30496681713</v>
      </c>
      <c r="B14" s="37" t="s">
        <v>63</v>
      </c>
      <c r="C14" s="38"/>
      <c r="D14" s="39">
        <v>4.2439999999999998</v>
      </c>
      <c r="E14" s="40"/>
      <c r="F14" s="41">
        <v>1.506</v>
      </c>
      <c r="G14" s="42"/>
      <c r="H14" s="43"/>
      <c r="I14" s="41">
        <v>1.8149999999999999</v>
      </c>
      <c r="J14" s="44">
        <v>17.34</v>
      </c>
      <c r="K14" s="39">
        <v>10.708</v>
      </c>
      <c r="L14" s="40">
        <v>1.6193500186776242</v>
      </c>
      <c r="M14" s="45" t="s">
        <v>65</v>
      </c>
      <c r="N14" s="46" t="s">
        <v>60</v>
      </c>
    </row>
    <row r="15" spans="1:15" ht="21.75" customHeight="1" x14ac:dyDescent="0.3">
      <c r="A15" s="36">
        <v>46080.30496681713</v>
      </c>
      <c r="B15" s="37" t="s">
        <v>55</v>
      </c>
      <c r="C15" s="38">
        <v>4777</v>
      </c>
      <c r="D15" s="39">
        <v>4.2243000000000004</v>
      </c>
      <c r="E15" s="40">
        <v>1.1308382453897687</v>
      </c>
      <c r="F15" s="41">
        <v>1.506</v>
      </c>
      <c r="G15" s="42"/>
      <c r="H15" s="43"/>
      <c r="I15" s="41">
        <v>1.748</v>
      </c>
      <c r="J15" s="44">
        <v>17.190000000000001</v>
      </c>
      <c r="K15" s="39">
        <v>10.664300000000001</v>
      </c>
      <c r="L15" s="40">
        <v>1.6119201447821236</v>
      </c>
      <c r="M15" s="45" t="s">
        <v>65</v>
      </c>
      <c r="N15" s="46" t="s">
        <v>60</v>
      </c>
    </row>
    <row r="16" spans="1:15" ht="21.75" customHeight="1" x14ac:dyDescent="0.3">
      <c r="A16" s="36">
        <v>46079.30496681713</v>
      </c>
      <c r="B16" s="37" t="s">
        <v>58</v>
      </c>
      <c r="C16" s="38">
        <v>4744</v>
      </c>
      <c r="D16" s="39">
        <v>4.2225000000000001</v>
      </c>
      <c r="E16" s="40">
        <v>1.1235050325636471</v>
      </c>
      <c r="F16" s="41">
        <v>1.492</v>
      </c>
      <c r="G16" s="42"/>
      <c r="H16" s="43"/>
      <c r="I16" s="41">
        <v>1.726</v>
      </c>
      <c r="J16" s="44">
        <v>17.34</v>
      </c>
      <c r="K16" s="39">
        <v>10.673</v>
      </c>
      <c r="L16" s="40">
        <v>1.6246603579124894</v>
      </c>
      <c r="M16" s="45" t="s">
        <v>65</v>
      </c>
      <c r="N16" s="46" t="s">
        <v>60</v>
      </c>
    </row>
    <row r="17" spans="1:14" ht="21.75" customHeight="1" x14ac:dyDescent="0.3">
      <c r="A17" s="36">
        <v>46078.30496681713</v>
      </c>
      <c r="B17" s="37" t="s">
        <v>61</v>
      </c>
      <c r="C17" s="38">
        <v>4765</v>
      </c>
      <c r="D17" s="39">
        <v>4.2233000000000001</v>
      </c>
      <c r="E17" s="40">
        <v>1.1282646271872707</v>
      </c>
      <c r="F17" s="41">
        <v>1.4950000000000001</v>
      </c>
      <c r="G17" s="42"/>
      <c r="H17" s="43"/>
      <c r="I17" s="41">
        <v>1.74</v>
      </c>
      <c r="J17" s="44">
        <v>17.34</v>
      </c>
      <c r="K17" s="39">
        <v>10.676500000000001</v>
      </c>
      <c r="L17" s="40">
        <v>1.6241277572238091</v>
      </c>
      <c r="M17" s="45" t="s">
        <v>65</v>
      </c>
      <c r="N17" s="46" t="s">
        <v>60</v>
      </c>
    </row>
    <row r="18" spans="1:14" ht="21.75" customHeight="1" x14ac:dyDescent="0.3">
      <c r="A18" s="36">
        <v>46077.30496681713</v>
      </c>
      <c r="B18" s="37" t="s">
        <v>62</v>
      </c>
      <c r="C18" s="38">
        <v>4769</v>
      </c>
      <c r="D18" s="39">
        <v>4.2202999999999999</v>
      </c>
      <c r="E18" s="40">
        <v>1.1300144539487715</v>
      </c>
      <c r="F18" s="41">
        <v>1.5049999999999999</v>
      </c>
      <c r="G18" s="42"/>
      <c r="H18" s="43"/>
      <c r="I18" s="41">
        <v>1.7450000000000001</v>
      </c>
      <c r="J18" s="44">
        <v>17.239999999999998</v>
      </c>
      <c r="K18" s="39">
        <v>10.688000000000001</v>
      </c>
      <c r="L18" s="40">
        <v>1.6130239520958081</v>
      </c>
      <c r="M18" s="45" t="s">
        <v>65</v>
      </c>
      <c r="N18" s="46" t="s">
        <v>60</v>
      </c>
    </row>
    <row r="19" spans="1:14" ht="21.75" customHeight="1" x14ac:dyDescent="0.3">
      <c r="A19" s="36">
        <v>46076.30496681713</v>
      </c>
      <c r="B19" s="37" t="s">
        <v>63</v>
      </c>
      <c r="C19" s="38"/>
      <c r="D19" s="39">
        <v>4.2172999999999998</v>
      </c>
      <c r="E19" s="40"/>
      <c r="F19" s="41">
        <v>1.492</v>
      </c>
      <c r="G19" s="42"/>
      <c r="H19" s="43"/>
      <c r="I19" s="41">
        <v>1.742</v>
      </c>
      <c r="J19" s="44">
        <v>17.239999999999998</v>
      </c>
      <c r="K19" s="39">
        <v>10.695499999999999</v>
      </c>
      <c r="L19" s="40">
        <v>1.611892852134075</v>
      </c>
      <c r="M19" s="45" t="s">
        <v>65</v>
      </c>
      <c r="N19" s="46" t="s">
        <v>60</v>
      </c>
    </row>
    <row r="20" spans="1:14" ht="21.75" customHeight="1" x14ac:dyDescent="0.3">
      <c r="A20" s="36">
        <v>46073.30496681713</v>
      </c>
      <c r="B20" s="37" t="s">
        <v>55</v>
      </c>
      <c r="C20" s="38">
        <v>4743</v>
      </c>
      <c r="D20" s="39">
        <v>4.2237999999999998</v>
      </c>
      <c r="E20" s="40">
        <v>1.1229224868601735</v>
      </c>
      <c r="F20" s="41">
        <v>1.4870000000000001</v>
      </c>
      <c r="G20" s="42"/>
      <c r="H20" s="43"/>
      <c r="I20" s="41">
        <v>1.7270000000000001</v>
      </c>
      <c r="J20" s="44">
        <v>16.89</v>
      </c>
      <c r="K20" s="39">
        <v>10.6745</v>
      </c>
      <c r="L20" s="40">
        <v>1.5822755164176308</v>
      </c>
      <c r="M20" s="45" t="s">
        <v>65</v>
      </c>
      <c r="N20" s="46" t="s">
        <v>60</v>
      </c>
    </row>
    <row r="21" spans="1:14" ht="21.75" customHeight="1" x14ac:dyDescent="0.3">
      <c r="A21" s="36">
        <v>46072.30496681713</v>
      </c>
      <c r="B21" s="37" t="s">
        <v>58</v>
      </c>
      <c r="C21" s="38">
        <v>4597</v>
      </c>
      <c r="D21" s="39">
        <v>4.2214999999999998</v>
      </c>
      <c r="E21" s="40">
        <v>1.0889494255596353</v>
      </c>
      <c r="F21" s="41">
        <v>1.46</v>
      </c>
      <c r="G21" s="42"/>
      <c r="H21" s="43"/>
      <c r="I21" s="41">
        <v>1.7130000000000001</v>
      </c>
      <c r="J21" s="44">
        <v>16.64</v>
      </c>
      <c r="K21" s="39">
        <v>10.6915</v>
      </c>
      <c r="L21" s="40">
        <v>1.5563765608193425</v>
      </c>
      <c r="M21" s="45" t="s">
        <v>65</v>
      </c>
      <c r="N21" s="46" t="s">
        <v>60</v>
      </c>
    </row>
    <row r="22" spans="1:14" ht="21.75" customHeight="1" x14ac:dyDescent="0.3">
      <c r="A22" s="36">
        <v>46071.30496681713</v>
      </c>
      <c r="B22" s="37" t="s">
        <v>61</v>
      </c>
      <c r="C22" s="38">
        <v>4569</v>
      </c>
      <c r="D22" s="39">
        <v>4.2164999999999999</v>
      </c>
      <c r="E22" s="40">
        <v>1.0836001422981147</v>
      </c>
      <c r="F22" s="41">
        <v>1.4430000000000001</v>
      </c>
      <c r="G22" s="42"/>
      <c r="H22" s="43"/>
      <c r="I22" s="41">
        <v>1.6970000000000001</v>
      </c>
      <c r="J22" s="44">
        <v>16.64</v>
      </c>
      <c r="K22" s="39">
        <v>10.616</v>
      </c>
      <c r="L22" s="40">
        <v>1.567445365486059</v>
      </c>
      <c r="M22" s="45" t="s">
        <v>65</v>
      </c>
      <c r="N22" s="46" t="s">
        <v>60</v>
      </c>
    </row>
    <row r="23" spans="1:14" ht="21.75" customHeight="1" x14ac:dyDescent="0.3">
      <c r="A23" s="36">
        <v>46070.30496681713</v>
      </c>
      <c r="B23" s="37" t="s">
        <v>62</v>
      </c>
      <c r="C23" s="38">
        <v>4577</v>
      </c>
      <c r="D23" s="39">
        <v>4.2138</v>
      </c>
      <c r="E23" s="40">
        <v>1.0861929849541982</v>
      </c>
      <c r="F23" s="41">
        <v>1.448</v>
      </c>
      <c r="G23" s="42"/>
      <c r="H23" s="43"/>
      <c r="I23" s="41">
        <v>1.7150000000000001</v>
      </c>
      <c r="J23" s="44">
        <v>16.64</v>
      </c>
      <c r="K23" s="39">
        <v>10.648</v>
      </c>
      <c r="L23" s="40">
        <v>1.5627347858752818</v>
      </c>
      <c r="M23" s="45" t="s">
        <v>65</v>
      </c>
      <c r="N23" s="46" t="s">
        <v>60</v>
      </c>
    </row>
    <row r="24" spans="1:14" ht="21.75" customHeight="1" x14ac:dyDescent="0.3">
      <c r="A24" s="36">
        <v>46069.30496681713</v>
      </c>
      <c r="B24" s="37" t="s">
        <v>63</v>
      </c>
      <c r="C24" s="38"/>
      <c r="D24" s="39">
        <v>4.2104999999999997</v>
      </c>
      <c r="E24" s="40"/>
      <c r="F24" s="41">
        <v>1.448</v>
      </c>
      <c r="G24" s="42"/>
      <c r="H24" s="43"/>
      <c r="I24" s="41">
        <v>1.724</v>
      </c>
      <c r="J24" s="44">
        <v>16.64</v>
      </c>
      <c r="K24" s="39">
        <v>10.6205</v>
      </c>
      <c r="L24" s="40">
        <v>1.5667812249894073</v>
      </c>
      <c r="M24" s="45" t="s">
        <v>65</v>
      </c>
      <c r="N24" s="46" t="s">
        <v>60</v>
      </c>
    </row>
    <row r="25" spans="1:14" ht="21.75" customHeight="1" x14ac:dyDescent="0.3">
      <c r="A25" s="36">
        <v>46066.30496681713</v>
      </c>
      <c r="B25" s="37" t="s">
        <v>55</v>
      </c>
      <c r="C25" s="38">
        <v>4593</v>
      </c>
      <c r="D25" s="39">
        <v>4.2149999999999999</v>
      </c>
      <c r="E25" s="40">
        <v>1.0896797153024911</v>
      </c>
      <c r="F25" s="41">
        <v>1.4430000000000001</v>
      </c>
      <c r="G25" s="42"/>
      <c r="H25" s="43"/>
      <c r="I25" s="41">
        <v>1.72</v>
      </c>
      <c r="J25" s="44">
        <v>16.64</v>
      </c>
      <c r="K25" s="39">
        <v>10.625400000000001</v>
      </c>
      <c r="L25" s="40">
        <v>1.5660586895552167</v>
      </c>
      <c r="M25" s="45" t="s">
        <v>65</v>
      </c>
      <c r="N25" s="46" t="s">
        <v>60</v>
      </c>
    </row>
    <row r="26" spans="1:14" ht="21.75" customHeight="1" x14ac:dyDescent="0.3">
      <c r="A26" s="36">
        <v>46065.30496681713</v>
      </c>
      <c r="B26" s="37" t="s">
        <v>58</v>
      </c>
      <c r="C26" s="38">
        <v>4613</v>
      </c>
      <c r="D26" s="39">
        <v>4.2157999999999998</v>
      </c>
      <c r="E26" s="40">
        <v>1.0942169932159971</v>
      </c>
      <c r="F26" s="41">
        <v>1.4550000000000001</v>
      </c>
      <c r="G26" s="42"/>
      <c r="H26" s="43"/>
      <c r="I26" s="41"/>
      <c r="J26" s="44">
        <v>16.64</v>
      </c>
      <c r="K26" s="39">
        <v>10.567</v>
      </c>
      <c r="L26" s="40">
        <v>1.5747137314280306</v>
      </c>
      <c r="M26" s="45" t="s">
        <v>65</v>
      </c>
      <c r="N26" s="46" t="s">
        <v>60</v>
      </c>
    </row>
    <row r="27" spans="1:14" ht="21.75" customHeight="1" x14ac:dyDescent="0.3">
      <c r="A27" s="36">
        <v>46064.30496681713</v>
      </c>
      <c r="B27" s="37" t="s">
        <v>61</v>
      </c>
      <c r="C27" s="38">
        <v>4609</v>
      </c>
      <c r="D27" s="39">
        <v>4.2134999999999998</v>
      </c>
      <c r="E27" s="40">
        <v>1.0938649578735018</v>
      </c>
      <c r="F27" s="41">
        <v>1.4530000000000001</v>
      </c>
      <c r="G27" s="42"/>
      <c r="H27" s="43"/>
      <c r="I27" s="41"/>
      <c r="J27" s="44">
        <v>16.79</v>
      </c>
      <c r="K27" s="39">
        <v>10.564</v>
      </c>
      <c r="L27" s="40">
        <v>1.5893600908746686</v>
      </c>
      <c r="M27" s="45" t="s">
        <v>65</v>
      </c>
      <c r="N27" s="46" t="s">
        <v>60</v>
      </c>
    </row>
    <row r="28" spans="1:14" ht="21.75" customHeight="1" x14ac:dyDescent="0.3">
      <c r="A28" s="36">
        <v>46063.30496681713</v>
      </c>
      <c r="B28" s="37" t="s">
        <v>62</v>
      </c>
      <c r="C28" s="38">
        <v>4620</v>
      </c>
      <c r="D28" s="39">
        <v>4.2169999999999996</v>
      </c>
      <c r="E28" s="40">
        <v>1.0955655679392935</v>
      </c>
      <c r="F28" s="41">
        <v>1.456</v>
      </c>
      <c r="G28" s="42"/>
      <c r="H28" s="43"/>
      <c r="I28" s="41"/>
      <c r="J28" s="44">
        <v>16.940000000000001</v>
      </c>
      <c r="K28" s="39">
        <v>10.6135</v>
      </c>
      <c r="L28" s="40">
        <v>1.5960804635605597</v>
      </c>
      <c r="M28" s="45" t="s">
        <v>65</v>
      </c>
      <c r="N28" s="46" t="s">
        <v>60</v>
      </c>
    </row>
    <row r="29" spans="1:14" ht="21.75" customHeight="1" x14ac:dyDescent="0.3">
      <c r="A29" s="36">
        <v>46062.30496681713</v>
      </c>
      <c r="B29" s="37" t="s">
        <v>63</v>
      </c>
      <c r="C29" s="38"/>
      <c r="D29" s="39">
        <v>4.2118000000000002</v>
      </c>
      <c r="E29" s="40"/>
      <c r="F29" s="41">
        <v>1.462</v>
      </c>
      <c r="G29" s="42"/>
      <c r="H29" s="43"/>
      <c r="I29" s="41"/>
      <c r="J29" s="44">
        <v>16.79</v>
      </c>
      <c r="K29" s="39">
        <v>10.650499999999999</v>
      </c>
      <c r="L29" s="40">
        <v>1.5764518097741891</v>
      </c>
      <c r="M29" s="45" t="s">
        <v>65</v>
      </c>
      <c r="N29" s="46" t="s">
        <v>60</v>
      </c>
    </row>
    <row r="30" spans="1:14" ht="21.75" customHeight="1" x14ac:dyDescent="0.3">
      <c r="A30" s="36">
        <v>46059.30496681713</v>
      </c>
      <c r="B30" s="37" t="s">
        <v>55</v>
      </c>
      <c r="C30" s="38">
        <v>4608</v>
      </c>
      <c r="D30" s="39">
        <v>4.2184999999999997</v>
      </c>
      <c r="E30" s="40">
        <v>1.0923313974161433</v>
      </c>
      <c r="F30" s="41"/>
      <c r="G30" s="42"/>
      <c r="H30" s="43"/>
      <c r="I30" s="41"/>
      <c r="J30" s="44">
        <v>16.690000000000001</v>
      </c>
      <c r="K30" s="39">
        <v>10.673500000000001</v>
      </c>
      <c r="L30" s="40">
        <v>1.5636857638075607</v>
      </c>
      <c r="M30" s="45" t="s">
        <v>65</v>
      </c>
      <c r="N30" s="46" t="s">
        <v>60</v>
      </c>
    </row>
    <row r="31" spans="1:14" ht="21.75" customHeight="1" x14ac:dyDescent="0.3">
      <c r="A31" s="36">
        <v>46058.30496681713</v>
      </c>
      <c r="B31" s="37" t="s">
        <v>58</v>
      </c>
      <c r="C31" s="38">
        <v>4606</v>
      </c>
      <c r="D31" s="39">
        <v>4.2205000000000004</v>
      </c>
      <c r="E31" s="40">
        <v>1.0913398886387868</v>
      </c>
      <c r="F31" s="41"/>
      <c r="G31" s="42"/>
      <c r="H31" s="43"/>
      <c r="I31" s="41"/>
      <c r="J31" s="44">
        <v>16.690000000000001</v>
      </c>
      <c r="K31" s="39">
        <v>10.641</v>
      </c>
      <c r="L31" s="40">
        <v>1.5684616107508693</v>
      </c>
      <c r="M31" s="45" t="s">
        <v>65</v>
      </c>
      <c r="N31" s="46" t="s">
        <v>60</v>
      </c>
    </row>
    <row r="32" spans="1:14" ht="21.75" customHeight="1" x14ac:dyDescent="0.3">
      <c r="A32" s="36">
        <v>46057.30496681713</v>
      </c>
      <c r="B32" s="37" t="s">
        <v>61</v>
      </c>
      <c r="C32" s="38">
        <v>4631</v>
      </c>
      <c r="D32" s="39">
        <v>4.2234999999999996</v>
      </c>
      <c r="E32" s="40">
        <v>1.0964839588019415</v>
      </c>
      <c r="F32" s="41"/>
      <c r="G32" s="42"/>
      <c r="H32" s="43"/>
      <c r="I32" s="41"/>
      <c r="J32" s="44">
        <v>16.690000000000001</v>
      </c>
      <c r="K32" s="39">
        <v>10.577</v>
      </c>
      <c r="L32" s="40">
        <v>1.577952160347925</v>
      </c>
      <c r="M32" s="45" t="s">
        <v>65</v>
      </c>
      <c r="N32" s="46" t="s">
        <v>60</v>
      </c>
    </row>
    <row r="33" spans="1:14" ht="21.75" customHeight="1" x14ac:dyDescent="0.3">
      <c r="A33" s="36">
        <v>46056.30496681713</v>
      </c>
      <c r="B33" s="37" t="s">
        <v>62</v>
      </c>
      <c r="C33" s="38">
        <v>4622</v>
      </c>
      <c r="D33" s="39">
        <v>4.2205000000000004</v>
      </c>
      <c r="E33" s="40">
        <v>1.0951309086601113</v>
      </c>
      <c r="F33" s="41"/>
      <c r="G33" s="42"/>
      <c r="H33" s="43"/>
      <c r="I33" s="41"/>
      <c r="J33" s="44">
        <v>16.989999999999998</v>
      </c>
      <c r="K33" s="39">
        <v>10.548500000000001</v>
      </c>
      <c r="L33" s="40">
        <v>1.6106555434421954</v>
      </c>
      <c r="M33" s="45" t="s">
        <v>65</v>
      </c>
      <c r="N33" s="46" t="s">
        <v>60</v>
      </c>
    </row>
    <row r="34" spans="1:14" ht="21.75" customHeight="1" x14ac:dyDescent="0.3">
      <c r="A34" s="36">
        <v>46055.30496681713</v>
      </c>
      <c r="B34" s="37" t="s">
        <v>63</v>
      </c>
      <c r="C34" s="38"/>
      <c r="D34" s="39">
        <v>4.2172999999999998</v>
      </c>
      <c r="E34" s="40"/>
      <c r="F34" s="41"/>
      <c r="G34" s="42"/>
      <c r="H34" s="43"/>
      <c r="I34" s="41"/>
      <c r="J34" s="44">
        <v>16.79</v>
      </c>
      <c r="K34" s="39">
        <v>10.593500000000001</v>
      </c>
      <c r="L34" s="40">
        <v>1.5849341577382356</v>
      </c>
      <c r="M34" s="45" t="s">
        <v>65</v>
      </c>
      <c r="N34" s="46" t="s">
        <v>60</v>
      </c>
    </row>
    <row r="35" spans="1:14" ht="21.75" customHeight="1" x14ac:dyDescent="0.3"/>
    <row r="36" spans="1:14" ht="21.75" customHeight="1" x14ac:dyDescent="0.3"/>
    <row r="37" spans="1:14" ht="21.75" customHeight="1" x14ac:dyDescent="0.3"/>
    <row r="38" spans="1:14" ht="21.75" customHeight="1" x14ac:dyDescent="0.3"/>
    <row r="39" spans="1:14" ht="21.75" customHeight="1" x14ac:dyDescent="0.3"/>
    <row r="40" spans="1:14" ht="21.75" customHeight="1" x14ac:dyDescent="0.3"/>
    <row r="41" spans="1:14" ht="21.75" customHeight="1" x14ac:dyDescent="0.3"/>
    <row r="42" spans="1:14" ht="21.75" customHeight="1" x14ac:dyDescent="0.3"/>
    <row r="43" spans="1:14" ht="21.75" customHeight="1" x14ac:dyDescent="0.3"/>
    <row r="44" spans="1:14" ht="21.75" customHeight="1" x14ac:dyDescent="0.3"/>
    <row r="45" spans="1:14" ht="21.75" customHeight="1" x14ac:dyDescent="0.3"/>
    <row r="46" spans="1:14" ht="21.75" customHeight="1" x14ac:dyDescent="0.3"/>
    <row r="47" spans="1:14" ht="21.75" customHeight="1" x14ac:dyDescent="0.3"/>
    <row r="48" spans="1:14" ht="21.75" customHeight="1" x14ac:dyDescent="0.3"/>
    <row r="49" ht="21.75" customHeight="1" x14ac:dyDescent="0.3"/>
    <row r="50" ht="21.75" customHeight="1" x14ac:dyDescent="0.3"/>
    <row r="51" ht="21.75" customHeight="1" x14ac:dyDescent="0.3"/>
    <row r="52" ht="21.75" customHeight="1" x14ac:dyDescent="0.3"/>
    <row r="53" ht="21.75" customHeight="1" x14ac:dyDescent="0.3"/>
    <row r="54" ht="21.75" customHeight="1" x14ac:dyDescent="0.3"/>
    <row r="55" ht="21.75" customHeight="1" x14ac:dyDescent="0.3"/>
    <row r="56" ht="21.75" customHeight="1" x14ac:dyDescent="0.3"/>
    <row r="57" ht="21.75" customHeight="1" x14ac:dyDescent="0.3"/>
    <row r="58" ht="21.75" customHeight="1" x14ac:dyDescent="0.3"/>
    <row r="59" ht="21.75" customHeight="1" x14ac:dyDescent="0.3"/>
    <row r="60" ht="21.75" customHeight="1" x14ac:dyDescent="0.3"/>
    <row r="61" ht="21.75" customHeight="1" x14ac:dyDescent="0.3"/>
    <row r="62" ht="21.75" customHeight="1" x14ac:dyDescent="0.3"/>
    <row r="63" ht="21.75" customHeight="1" x14ac:dyDescent="0.3"/>
    <row r="64" ht="21.7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15" customHeight="1" x14ac:dyDescent="0.3"/>
  </sheetData>
  <mergeCells count="7">
    <mergeCell ref="A1:N1"/>
    <mergeCell ref="J3:L3"/>
    <mergeCell ref="A2:N2"/>
    <mergeCell ref="C3:E3"/>
    <mergeCell ref="M3:N3"/>
    <mergeCell ref="A3:B3"/>
    <mergeCell ref="G3:H3"/>
  </mergeCells>
  <conditionalFormatting sqref="E5:E64">
    <cfRule type="dataBar" priority="6">
      <dataBar>
        <cfvo type="min"/>
        <cfvo type="max"/>
        <color rgb="FF3B82F6"/>
      </dataBar>
    </cfRule>
  </conditionalFormatting>
  <conditionalFormatting sqref="F5:F64">
    <cfRule type="dataBar" priority="7">
      <dataBar>
        <cfvo type="min"/>
        <cfvo type="max"/>
        <color rgb="FF3B82F6"/>
      </dataBar>
    </cfRule>
  </conditionalFormatting>
  <conditionalFormatting sqref="G5:H64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I5:I64">
    <cfRule type="dataBar" priority="8">
      <dataBar>
        <cfvo type="min"/>
        <cfvo type="max"/>
        <color rgb="FF3B82F6"/>
      </dataBar>
    </cfRule>
  </conditionalFormatting>
  <conditionalFormatting sqref="L5:L64">
    <cfRule type="dataBar" priority="9">
      <dataBar>
        <cfvo type="min"/>
        <cfvo type="max"/>
        <color rgb="FF3B82F6"/>
      </dataBar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59E0B"/>
  </sheetPr>
  <dimension ref="A1:K39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16" sqref="E16"/>
    </sheetView>
  </sheetViews>
  <sheetFormatPr defaultColWidth="8.6640625" defaultRowHeight="14.4" x14ac:dyDescent="0.3"/>
  <cols>
    <col min="1" max="1" width="14" customWidth="1"/>
    <col min="2" max="9" width="11" customWidth="1"/>
    <col min="10" max="10" width="20" customWidth="1"/>
  </cols>
  <sheetData>
    <row r="1" spans="1:11" ht="36" customHeight="1" x14ac:dyDescent="0.3">
      <c r="A1" s="98" t="s">
        <v>66</v>
      </c>
      <c r="B1" s="51"/>
      <c r="C1" s="51"/>
      <c r="D1" s="51"/>
      <c r="E1" s="51"/>
      <c r="F1" s="51"/>
      <c r="G1" s="51"/>
      <c r="H1" s="51"/>
      <c r="I1" s="51"/>
      <c r="J1" s="51"/>
      <c r="K1" s="1"/>
    </row>
    <row r="2" spans="1:11" ht="18" customHeight="1" x14ac:dyDescent="0.3">
      <c r="A2" s="80" t="s">
        <v>67</v>
      </c>
      <c r="B2" s="51"/>
      <c r="C2" s="51"/>
      <c r="D2" s="51"/>
      <c r="E2" s="51"/>
      <c r="F2" s="51"/>
      <c r="G2" s="51"/>
      <c r="H2" s="51"/>
      <c r="I2" s="51"/>
      <c r="J2" s="51"/>
      <c r="K2" s="1"/>
    </row>
    <row r="3" spans="1:11" ht="30" customHeight="1" x14ac:dyDescent="0.3">
      <c r="A3" s="18" t="s">
        <v>68</v>
      </c>
      <c r="B3" s="18" t="s">
        <v>69</v>
      </c>
      <c r="C3" s="18" t="s">
        <v>70</v>
      </c>
      <c r="D3" s="18" t="s">
        <v>71</v>
      </c>
      <c r="E3" s="18" t="s">
        <v>72</v>
      </c>
      <c r="F3" s="18" t="s">
        <v>73</v>
      </c>
      <c r="G3" s="18" t="s">
        <v>74</v>
      </c>
      <c r="H3" s="18" t="s">
        <v>75</v>
      </c>
      <c r="I3" s="18" t="s">
        <v>76</v>
      </c>
      <c r="J3" s="18" t="s">
        <v>53</v>
      </c>
      <c r="K3" s="1"/>
    </row>
    <row r="4" spans="1:11" ht="21.75" customHeight="1" x14ac:dyDescent="0.3">
      <c r="A4" s="47">
        <v>46090.304971808917</v>
      </c>
      <c r="B4" s="48">
        <v>1.901</v>
      </c>
      <c r="C4" s="48">
        <v>1.7929999999999999</v>
      </c>
      <c r="D4" s="48">
        <v>1.6879999999999999</v>
      </c>
      <c r="E4" s="48">
        <v>2.1150000000000002</v>
      </c>
      <c r="F4" s="48">
        <v>1.7829999999999999</v>
      </c>
      <c r="G4" s="48">
        <v>2.0419999999999998</v>
      </c>
      <c r="H4" s="48">
        <v>1.748</v>
      </c>
      <c r="I4" s="49">
        <v>8.7499999999999994E-2</v>
      </c>
    </row>
    <row r="5" spans="1:11" ht="21.75" customHeight="1" x14ac:dyDescent="0.3"/>
    <row r="6" spans="1:11" ht="21.75" customHeight="1" x14ac:dyDescent="0.3"/>
    <row r="7" spans="1:11" ht="21.75" customHeight="1" x14ac:dyDescent="0.3"/>
    <row r="8" spans="1:11" ht="21.75" customHeight="1" x14ac:dyDescent="0.3"/>
    <row r="9" spans="1:11" ht="21.75" customHeight="1" x14ac:dyDescent="0.3"/>
    <row r="10" spans="1:11" ht="21.75" customHeight="1" x14ac:dyDescent="0.3"/>
    <row r="11" spans="1:11" ht="21.75" customHeight="1" x14ac:dyDescent="0.3"/>
    <row r="12" spans="1:11" ht="21.75" customHeight="1" x14ac:dyDescent="0.3"/>
    <row r="13" spans="1:11" ht="21.75" customHeight="1" x14ac:dyDescent="0.3"/>
    <row r="14" spans="1:11" ht="21.75" customHeight="1" x14ac:dyDescent="0.3"/>
    <row r="15" spans="1:11" ht="21.75" customHeight="1" x14ac:dyDescent="0.3"/>
    <row r="16" spans="1:11" ht="21.75" customHeight="1" x14ac:dyDescent="0.3"/>
    <row r="17" ht="21.75" customHeight="1" x14ac:dyDescent="0.3"/>
    <row r="18" ht="21.75" customHeight="1" x14ac:dyDescent="0.3"/>
    <row r="19" ht="21.75" customHeight="1" x14ac:dyDescent="0.3"/>
    <row r="20" ht="21.75" customHeight="1" x14ac:dyDescent="0.3"/>
    <row r="21" ht="21.75" customHeight="1" x14ac:dyDescent="0.3"/>
    <row r="22" ht="21.75" customHeight="1" x14ac:dyDescent="0.3"/>
    <row r="23" ht="21.75" customHeight="1" x14ac:dyDescent="0.3"/>
    <row r="24" ht="21.75" customHeight="1" x14ac:dyDescent="0.3"/>
    <row r="25" ht="21.75" customHeight="1" x14ac:dyDescent="0.3"/>
    <row r="26" ht="21.75" customHeight="1" x14ac:dyDescent="0.3"/>
    <row r="27" ht="21.75" customHeight="1" x14ac:dyDescent="0.3"/>
    <row r="28" ht="21.75" customHeight="1" x14ac:dyDescent="0.3"/>
    <row r="29" ht="21.75" customHeight="1" x14ac:dyDescent="0.3"/>
    <row r="30" ht="21.75" customHeight="1" x14ac:dyDescent="0.3"/>
    <row r="31" ht="21.75" customHeight="1" x14ac:dyDescent="0.3"/>
    <row r="32" ht="21.75" customHeight="1" x14ac:dyDescent="0.3"/>
    <row r="33" ht="21.7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  <row r="38" ht="15" customHeight="1" x14ac:dyDescent="0.3"/>
    <row r="39" ht="15" customHeight="1" x14ac:dyDescent="0.3"/>
  </sheetData>
  <mergeCells count="2">
    <mergeCell ref="A1:J1"/>
    <mergeCell ref="A2:J2"/>
  </mergeCells>
  <conditionalFormatting sqref="B4:B33">
    <cfRule type="dataBar" priority="4">
      <dataBar>
        <cfvo type="min"/>
        <cfvo type="max"/>
        <color rgb="FFF59E0B"/>
      </dataBar>
    </cfRule>
  </conditionalFormatting>
  <conditionalFormatting sqref="C4:C33">
    <cfRule type="dataBar" priority="5">
      <dataBar>
        <cfvo type="min"/>
        <cfvo type="max"/>
        <color rgb="FFF59E0B"/>
      </dataBar>
    </cfRule>
  </conditionalFormatting>
  <conditionalFormatting sqref="D4:D33">
    <cfRule type="dataBar" priority="6">
      <dataBar>
        <cfvo type="min"/>
        <cfvo type="max"/>
        <color rgb="FFF59E0B"/>
      </dataBar>
    </cfRule>
  </conditionalFormatting>
  <conditionalFormatting sqref="E4:E33">
    <cfRule type="dataBar" priority="7">
      <dataBar>
        <cfvo type="min"/>
        <cfvo type="max"/>
        <color rgb="FFF59E0B"/>
      </dataBar>
    </cfRule>
  </conditionalFormatting>
  <conditionalFormatting sqref="F4:F33">
    <cfRule type="dataBar" priority="8">
      <dataBar>
        <cfvo type="min"/>
        <cfvo type="max"/>
        <color rgb="FFF59E0B"/>
      </dataBar>
    </cfRule>
  </conditionalFormatting>
  <conditionalFormatting sqref="G4:G33">
    <cfRule type="dataBar" priority="9">
      <dataBar>
        <cfvo type="min"/>
        <cfvo type="max"/>
        <color rgb="FFF59E0B"/>
      </dataBar>
    </cfRule>
  </conditionalFormatting>
  <conditionalFormatting sqref="H4:H33">
    <cfRule type="dataBar" priority="10">
      <dataBar>
        <cfvo type="min"/>
        <cfvo type="max"/>
        <color rgb="FFF59E0B"/>
      </dataBar>
    </cfRule>
  </conditionalFormatting>
  <conditionalFormatting sqref="I4:I33">
    <cfRule type="cellIs" dxfId="1" priority="2" operator="lessThan">
      <formula>0</formula>
    </cfRule>
    <cfRule type="cellIs" dxfId="0" priority="3" operator="greater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2C55E"/>
  </sheetPr>
  <dimension ref="A1:E15"/>
  <sheetViews>
    <sheetView showGridLines="0" zoomScaleNormal="100" workbookViewId="0"/>
  </sheetViews>
  <sheetFormatPr defaultColWidth="8.6640625" defaultRowHeight="14.4" x14ac:dyDescent="0.3"/>
  <cols>
    <col min="1" max="1" width="24" customWidth="1"/>
    <col min="2" max="2" width="55" customWidth="1"/>
    <col min="3" max="3" width="14" customWidth="1"/>
    <col min="4" max="4" width="65" customWidth="1"/>
  </cols>
  <sheetData>
    <row r="1" spans="1:5" ht="36" customHeight="1" x14ac:dyDescent="0.3">
      <c r="A1" s="98" t="s">
        <v>77</v>
      </c>
      <c r="B1" s="51"/>
      <c r="C1" s="51"/>
      <c r="D1" s="51"/>
      <c r="E1" s="1"/>
    </row>
    <row r="2" spans="1:5" ht="27.75" customHeight="1" x14ac:dyDescent="0.3">
      <c r="A2" s="19" t="s">
        <v>78</v>
      </c>
      <c r="B2" s="19" t="s">
        <v>79</v>
      </c>
      <c r="C2" s="19" t="s">
        <v>80</v>
      </c>
      <c r="D2" s="19" t="s">
        <v>81</v>
      </c>
      <c r="E2" s="1"/>
    </row>
    <row r="3" spans="1:5" ht="39.75" customHeight="1" x14ac:dyDescent="0.3">
      <c r="A3" s="20" t="s">
        <v>82</v>
      </c>
      <c r="B3" s="21" t="s">
        <v>83</v>
      </c>
      <c r="C3" s="22" t="s">
        <v>84</v>
      </c>
      <c r="D3" s="23" t="s">
        <v>85</v>
      </c>
      <c r="E3" s="1"/>
    </row>
    <row r="4" spans="1:5" ht="39.75" customHeight="1" x14ac:dyDescent="0.3">
      <c r="A4" s="24" t="s">
        <v>86</v>
      </c>
      <c r="B4" s="25" t="s">
        <v>87</v>
      </c>
      <c r="C4" s="26" t="s">
        <v>84</v>
      </c>
      <c r="D4" s="27" t="s">
        <v>88</v>
      </c>
      <c r="E4" s="1"/>
    </row>
    <row r="5" spans="1:5" ht="39.75" customHeight="1" x14ac:dyDescent="0.3">
      <c r="A5" s="20" t="s">
        <v>89</v>
      </c>
      <c r="B5" s="21" t="s">
        <v>90</v>
      </c>
      <c r="C5" s="28" t="s">
        <v>91</v>
      </c>
      <c r="D5" s="23" t="s">
        <v>92</v>
      </c>
      <c r="E5" s="1"/>
    </row>
    <row r="6" spans="1:5" ht="39.75" customHeight="1" x14ac:dyDescent="0.3">
      <c r="A6" s="24" t="s">
        <v>93</v>
      </c>
      <c r="B6" s="25" t="s">
        <v>94</v>
      </c>
      <c r="C6" s="26" t="s">
        <v>84</v>
      </c>
      <c r="D6" s="27" t="s">
        <v>95</v>
      </c>
      <c r="E6" s="1"/>
    </row>
    <row r="7" spans="1:5" ht="39.75" customHeight="1" x14ac:dyDescent="0.3">
      <c r="A7" s="20" t="s">
        <v>96</v>
      </c>
      <c r="B7" s="21" t="s">
        <v>97</v>
      </c>
      <c r="C7" s="28" t="s">
        <v>91</v>
      </c>
      <c r="D7" s="23" t="s">
        <v>98</v>
      </c>
      <c r="E7" s="1"/>
    </row>
    <row r="8" spans="1:5" ht="39.75" customHeight="1" x14ac:dyDescent="0.3">
      <c r="A8" s="24" t="s">
        <v>99</v>
      </c>
      <c r="B8" s="25" t="s">
        <v>100</v>
      </c>
      <c r="C8" s="26" t="s">
        <v>84</v>
      </c>
      <c r="D8" s="27" t="s">
        <v>101</v>
      </c>
      <c r="E8" s="1"/>
    </row>
    <row r="9" spans="1:5" ht="15" customHeight="1" x14ac:dyDescent="0.3">
      <c r="A9" s="1"/>
      <c r="B9" s="1"/>
      <c r="C9" s="1"/>
      <c r="D9" s="1"/>
      <c r="E9" s="1"/>
    </row>
    <row r="10" spans="1:5" ht="15" customHeight="1" x14ac:dyDescent="0.3">
      <c r="A10" s="1"/>
      <c r="B10" s="1"/>
      <c r="C10" s="1"/>
      <c r="D10" s="1"/>
      <c r="E10" s="1"/>
    </row>
    <row r="11" spans="1:5" ht="15" customHeight="1" x14ac:dyDescent="0.3">
      <c r="A11" s="1"/>
      <c r="B11" s="1"/>
      <c r="C11" s="1"/>
      <c r="D11" s="1"/>
      <c r="E11" s="1"/>
    </row>
    <row r="12" spans="1:5" ht="15" customHeight="1" x14ac:dyDescent="0.3">
      <c r="A12" s="1"/>
      <c r="B12" s="1"/>
      <c r="C12" s="1"/>
      <c r="D12" s="1"/>
      <c r="E12" s="1"/>
    </row>
    <row r="13" spans="1:5" ht="15" customHeight="1" x14ac:dyDescent="0.3">
      <c r="A13" s="1"/>
      <c r="B13" s="1"/>
      <c r="C13" s="1"/>
      <c r="D13" s="1"/>
      <c r="E13" s="1"/>
    </row>
    <row r="14" spans="1:5" ht="15" customHeight="1" x14ac:dyDescent="0.3">
      <c r="A14" s="1"/>
      <c r="B14" s="1"/>
      <c r="C14" s="1"/>
      <c r="D14" s="1"/>
      <c r="E14" s="1"/>
    </row>
    <row r="15" spans="1:5" ht="15" customHeight="1" x14ac:dyDescent="0.3">
      <c r="A15" s="1"/>
      <c r="B15" s="1"/>
      <c r="C15" s="1"/>
      <c r="D15" s="1"/>
      <c r="E15" s="1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855F7"/>
  </sheetPr>
  <dimension ref="A1:D15"/>
  <sheetViews>
    <sheetView showGridLines="0" zoomScaleNormal="100" workbookViewId="0"/>
  </sheetViews>
  <sheetFormatPr defaultColWidth="8.6640625" defaultRowHeight="14.4" x14ac:dyDescent="0.3"/>
  <cols>
    <col min="1" max="1" width="28" customWidth="1"/>
    <col min="2" max="2" width="70" customWidth="1"/>
    <col min="3" max="3" width="16" customWidth="1"/>
  </cols>
  <sheetData>
    <row r="1" spans="1:4" ht="36" customHeight="1" x14ac:dyDescent="0.3">
      <c r="A1" s="98" t="s">
        <v>102</v>
      </c>
      <c r="B1" s="51"/>
      <c r="C1" s="51"/>
      <c r="D1" s="1"/>
    </row>
    <row r="2" spans="1:4" ht="27.75" customHeight="1" x14ac:dyDescent="0.3">
      <c r="A2" s="29" t="s">
        <v>103</v>
      </c>
      <c r="B2" s="29" t="s">
        <v>104</v>
      </c>
      <c r="C2" s="29" t="s">
        <v>105</v>
      </c>
      <c r="D2" s="1"/>
    </row>
    <row r="3" spans="1:4" ht="48" customHeight="1" x14ac:dyDescent="0.3">
      <c r="A3" s="20" t="s">
        <v>106</v>
      </c>
      <c r="B3" s="23" t="s">
        <v>107</v>
      </c>
      <c r="C3" s="28" t="s">
        <v>108</v>
      </c>
      <c r="D3" s="1"/>
    </row>
    <row r="4" spans="1:4" ht="48" customHeight="1" x14ac:dyDescent="0.3">
      <c r="A4" s="24" t="s">
        <v>109</v>
      </c>
      <c r="B4" s="27" t="s">
        <v>110</v>
      </c>
      <c r="C4" s="30" t="s">
        <v>111</v>
      </c>
      <c r="D4" s="1"/>
    </row>
    <row r="5" spans="1:4" ht="48" customHeight="1" x14ac:dyDescent="0.3">
      <c r="A5" s="20" t="s">
        <v>112</v>
      </c>
      <c r="B5" s="23" t="s">
        <v>113</v>
      </c>
      <c r="C5" s="31" t="s">
        <v>114</v>
      </c>
      <c r="D5" s="1"/>
    </row>
    <row r="6" spans="1:4" ht="48" customHeight="1" x14ac:dyDescent="0.3">
      <c r="A6" s="24" t="s">
        <v>115</v>
      </c>
      <c r="B6" s="27" t="s">
        <v>116</v>
      </c>
      <c r="C6" s="32" t="s">
        <v>114</v>
      </c>
      <c r="D6" s="1"/>
    </row>
    <row r="7" spans="1:4" ht="48" customHeight="1" x14ac:dyDescent="0.3">
      <c r="A7" s="20" t="s">
        <v>117</v>
      </c>
      <c r="B7" s="23" t="s">
        <v>118</v>
      </c>
      <c r="C7" s="33" t="s">
        <v>119</v>
      </c>
      <c r="D7" s="1"/>
    </row>
    <row r="8" spans="1:4" ht="48" customHeight="1" x14ac:dyDescent="0.3">
      <c r="A8" s="24" t="s">
        <v>120</v>
      </c>
      <c r="B8" s="27" t="s">
        <v>121</v>
      </c>
      <c r="C8" s="34" t="s">
        <v>108</v>
      </c>
      <c r="D8" s="1"/>
    </row>
    <row r="9" spans="1:4" ht="48" customHeight="1" x14ac:dyDescent="0.3">
      <c r="A9" s="20" t="s">
        <v>122</v>
      </c>
      <c r="B9" s="23" t="s">
        <v>123</v>
      </c>
      <c r="C9" s="35" t="s">
        <v>124</v>
      </c>
      <c r="D9" s="1"/>
    </row>
    <row r="10" spans="1:4" ht="15" customHeight="1" x14ac:dyDescent="0.3">
      <c r="A10" s="1"/>
      <c r="B10" s="1"/>
      <c r="C10" s="1"/>
      <c r="D10" s="1"/>
    </row>
    <row r="11" spans="1:4" ht="27.75" customHeight="1" x14ac:dyDescent="0.3">
      <c r="A11" s="99" t="s">
        <v>125</v>
      </c>
      <c r="B11" s="51"/>
      <c r="C11" s="51"/>
      <c r="D11" s="1"/>
    </row>
    <row r="12" spans="1:4" ht="15" customHeight="1" x14ac:dyDescent="0.3">
      <c r="A12" s="1"/>
      <c r="B12" s="1"/>
      <c r="C12" s="1"/>
      <c r="D12" s="1"/>
    </row>
    <row r="13" spans="1:4" ht="15" customHeight="1" x14ac:dyDescent="0.3">
      <c r="A13" s="1"/>
      <c r="B13" s="1"/>
      <c r="C13" s="1"/>
      <c r="D13" s="1"/>
    </row>
    <row r="14" spans="1:4" ht="15" customHeight="1" x14ac:dyDescent="0.3">
      <c r="A14" s="1"/>
      <c r="B14" s="1"/>
      <c r="C14" s="1"/>
      <c r="D14" s="1"/>
    </row>
    <row r="15" spans="1:4" ht="15" customHeight="1" x14ac:dyDescent="0.3">
      <c r="A15" s="1"/>
      <c r="B15" s="1"/>
      <c r="C15" s="1"/>
      <c r="D15" s="1"/>
    </row>
  </sheetData>
  <mergeCells count="2">
    <mergeCell ref="A1:C1"/>
    <mergeCell ref="A11:C1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Daily Tracker</vt:lpstr>
      <vt:lpstr>Weekly Oil Bulletin</vt:lpstr>
      <vt:lpstr>Sources</vt:lpstr>
      <vt:lpstr>Automation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Domantas Skupeika</cp:lastModifiedBy>
  <cp:revision>1</cp:revision>
  <dcterms:created xsi:type="dcterms:W3CDTF">2026-03-12T11:20:04Z</dcterms:created>
  <dcterms:modified xsi:type="dcterms:W3CDTF">2026-03-13T07:55:00Z</dcterms:modified>
  <dc:language>en-US</dc:language>
</cp:coreProperties>
</file>