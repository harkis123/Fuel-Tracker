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8">
    <numFmt numFmtId="164" formatCode="0.000"/>
    <numFmt numFmtId="165" formatCode="yyyy\-mm\-dd"/>
    <numFmt numFmtId="166" formatCode="0.0000"/>
    <numFmt numFmtId="167" formatCode="\+0.000;\-0.000;&quot;-&quot;"/>
    <numFmt numFmtId="168" formatCode="\+0.0%;\-0.0%;&quot;-&quot;"/>
    <numFmt numFmtId="169" formatCode="YYYY-MM-DD"/>
    <numFmt numFmtId="170" formatCode="+0.000;-0.000;&quot;-&quot;"/>
    <numFmt numFmtId="171" formatCode="+0.0%;-0.0%;&quot;-&quot;"/>
  </numFmts>
  <fonts count="40">
    <font>
      <name val="Calibri"/>
      <charset val="1"/>
      <family val="2"/>
      <color theme="1"/>
      <sz val="11"/>
    </font>
    <font>
      <name val="Aptos"/>
      <charset val="1"/>
      <b val="1"/>
      <color rgb="FF1E3A5F"/>
      <sz val="20"/>
    </font>
    <font>
      <name val="Aptos"/>
      <charset val="1"/>
      <color rgb="FF9CA3AF"/>
      <sz val="9"/>
    </font>
    <font>
      <name val="Aptos"/>
      <charset val="1"/>
      <b val="1"/>
      <color rgb="FF0E7490"/>
      <sz val="9"/>
    </font>
    <font>
      <name val="Aptos"/>
      <charset val="1"/>
      <b val="1"/>
      <color rgb="FFC2410C"/>
      <sz val="9"/>
    </font>
    <font>
      <name val="Aptos"/>
      <charset val="1"/>
      <b val="1"/>
      <color rgb="FFB45309"/>
      <sz val="9"/>
    </font>
    <font>
      <name val="Aptos"/>
      <charset val="1"/>
      <b val="1"/>
      <color rgb="FF7C3AED"/>
      <sz val="9"/>
    </font>
    <font>
      <name val="Aptos"/>
      <charset val="1"/>
      <b val="1"/>
      <color rgb="FF0E7490"/>
      <sz val="26"/>
    </font>
    <font>
      <name val="Aptos"/>
      <charset val="1"/>
      <b val="1"/>
      <color rgb="FFC2410C"/>
      <sz val="26"/>
    </font>
    <font>
      <name val="Aptos"/>
      <charset val="1"/>
      <b val="1"/>
      <color rgb="FFB45309"/>
      <sz val="26"/>
    </font>
    <font>
      <name val="Aptos"/>
      <charset val="1"/>
      <b val="1"/>
      <color rgb="FF7C3AED"/>
      <sz val="26"/>
    </font>
    <font>
      <name val="Aptos"/>
      <charset val="1"/>
      <color rgb="FF9CA3AF"/>
      <sz val="8"/>
    </font>
    <font>
      <name val="Aptos"/>
      <charset val="1"/>
      <b val="1"/>
      <color rgb="FF0F766E"/>
      <sz val="10"/>
    </font>
    <font>
      <name val="Aptos"/>
      <charset val="1"/>
      <b val="1"/>
      <color rgb="FFB45309"/>
      <sz val="10"/>
    </font>
    <font>
      <name val="Aptos"/>
      <charset val="1"/>
      <b val="1"/>
      <color rgb="FF1E3A5F"/>
      <sz val="11"/>
    </font>
    <font>
      <name val="Aptos"/>
      <charset val="1"/>
      <b val="1"/>
      <color rgb="FF6B7280"/>
      <sz val="9"/>
    </font>
    <font>
      <name val="Aptos"/>
      <charset val="1"/>
      <b val="1"/>
      <color rgb="FF1F2937"/>
      <sz val="18"/>
    </font>
    <font>
      <name val="Aptos"/>
      <charset val="1"/>
      <b val="1"/>
      <color rgb="FF1E3A5F"/>
      <sz val="10"/>
    </font>
    <font>
      <name val="Aptos"/>
      <charset val="1"/>
      <color rgb="FF1F2937"/>
      <sz val="8"/>
    </font>
    <font>
      <name val="Aptos"/>
      <charset val="1"/>
      <b val="1"/>
      <color rgb="FF3B82F6"/>
      <sz val="9"/>
    </font>
    <font>
      <name val="Aptos"/>
      <charset val="1"/>
      <b val="1"/>
      <color rgb="FF1F2937"/>
      <sz val="9"/>
    </font>
    <font>
      <name val="Aptos"/>
      <charset val="1"/>
      <color rgb="FF6B7280"/>
      <sz val="9"/>
    </font>
    <font>
      <name val="Aptos"/>
      <charset val="1"/>
      <b val="1"/>
      <color rgb="FF1E3A5F"/>
      <sz val="16"/>
    </font>
    <font>
      <name val="Aptos"/>
      <charset val="1"/>
      <b val="1"/>
      <color rgb="FFFFFFFF"/>
      <sz val="8"/>
    </font>
    <font>
      <name val="Aptos"/>
      <charset val="1"/>
      <b val="1"/>
      <color rgb="FF1F2937"/>
      <sz val="10"/>
    </font>
    <font>
      <name val="Aptos"/>
      <charset val="1"/>
      <color rgb="FF1D4ED8"/>
      <sz val="9"/>
    </font>
    <font>
      <name val="Aptos"/>
      <charset val="1"/>
      <b val="1"/>
      <color rgb="FF15803D"/>
      <sz val="9"/>
    </font>
    <font>
      <name val="Aptos"/>
      <charset val="1"/>
      <b val="1"/>
      <color rgb="FF0F766E"/>
      <sz val="9"/>
    </font>
    <font>
      <name val="Aptos"/>
      <charset val="1"/>
      <b val="1"/>
      <color rgb="FFB91C1C"/>
      <sz val="9"/>
    </font>
    <font>
      <name val="Aptos"/>
      <charset val="1"/>
      <b val="1"/>
      <color rgb="FF15803D"/>
      <sz val="10"/>
    </font>
    <font>
      <name val="Aptos"/>
      <b val="1"/>
      <color rgb="FF1F2937"/>
      <sz val="10"/>
    </font>
    <font>
      <name val="Aptos"/>
      <color rgb="FF6B7280"/>
      <sz val="9"/>
    </font>
    <font>
      <name val="Aptos"/>
      <color rgb="FF1D4ED8"/>
      <sz val="10"/>
    </font>
    <font>
      <name val="Aptos"/>
      <color rgb="FF1F2937"/>
      <sz val="10"/>
    </font>
    <font>
      <name val="Aptos"/>
      <color rgb="FF9CA3AF"/>
      <sz val="8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  <fill>
      <patternFill patternType="solid">
        <fgColor rgb="00EFF6FF"/>
      </patternFill>
    </fill>
  </fills>
  <borders count="22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  <xf numFmtId="0" fontId="0" fillId="6" borderId="5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2" borderId="0" applyAlignment="1" pivotButton="0" quotePrefix="0" xfId="0">
      <alignment horizontal="center" vertical="center"/>
    </xf>
    <xf numFmtId="164" fontId="18" fillId="2" borderId="0" pivotButton="0" quotePrefix="0" xfId="0"/>
    <xf numFmtId="0" fontId="19" fillId="2" borderId="0" pivotButton="0" quotePrefix="0" xfId="0"/>
    <xf numFmtId="164" fontId="19" fillId="2" borderId="0" pivotButton="0" quotePrefix="0" xfId="0"/>
    <xf numFmtId="0" fontId="23" fillId="13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 wrapText="1"/>
    </xf>
    <xf numFmtId="0" fontId="15" fillId="8" borderId="18" applyAlignment="1" pivotButton="0" quotePrefix="0" xfId="0">
      <alignment horizontal="center" vertical="center" wrapText="1"/>
    </xf>
    <xf numFmtId="0" fontId="15" fillId="8" borderId="16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5" fillId="10" borderId="17" applyAlignment="1" pivotButton="0" quotePrefix="0" xfId="0">
      <alignment horizontal="left" vertical="center" wrapText="1"/>
    </xf>
    <xf numFmtId="0" fontId="3" fillId="10" borderId="17" applyAlignment="1" pivotButton="0" quotePrefix="0" xfId="0">
      <alignment horizontal="center" vertical="center"/>
    </xf>
    <xf numFmtId="0" fontId="21" fillId="10" borderId="17" applyAlignment="1" pivotButton="0" quotePrefix="0" xfId="0">
      <alignment horizontal="left" vertical="center" wrapText="1"/>
    </xf>
    <xf numFmtId="0" fontId="24" fillId="2" borderId="17" applyAlignment="1" pivotButton="0" quotePrefix="0" xfId="0">
      <alignment horizontal="left" vertical="center" wrapText="1"/>
    </xf>
    <xf numFmtId="0" fontId="25" fillId="2" borderId="17" applyAlignment="1" pivotButton="0" quotePrefix="0" xfId="0">
      <alignment horizontal="left" vertical="center" wrapText="1"/>
    </xf>
    <xf numFmtId="0" fontId="3" fillId="2" borderId="17" applyAlignment="1" pivotButton="0" quotePrefix="0" xfId="0">
      <alignment horizontal="center" vertical="center"/>
    </xf>
    <xf numFmtId="0" fontId="21" fillId="2" borderId="17" applyAlignment="1" pivotButton="0" quotePrefix="0" xfId="0">
      <alignment horizontal="left" vertical="center" wrapText="1"/>
    </xf>
    <xf numFmtId="0" fontId="5" fillId="10" borderId="17" applyAlignment="1" pivotButton="0" quotePrefix="0" xfId="0">
      <alignment horizontal="center" vertical="center"/>
    </xf>
    <xf numFmtId="0" fontId="1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26" fillId="10" borderId="17" applyAlignment="1" pivotButton="0" quotePrefix="0" xfId="0">
      <alignment horizontal="center" vertical="center"/>
    </xf>
    <xf numFmtId="0" fontId="26" fillId="2" borderId="17" applyAlignment="1" pivotButton="0" quotePrefix="0" xfId="0">
      <alignment horizontal="center" vertical="center"/>
    </xf>
    <xf numFmtId="0" fontId="27" fillId="10" borderId="17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28" fillId="10" borderId="17" applyAlignment="1" pivotButton="0" quotePrefix="0" xfId="0">
      <alignment horizontal="center" vertical="center"/>
    </xf>
    <xf numFmtId="165" fontId="30" fillId="0" borderId="20" applyAlignment="1" pivotButton="0" quotePrefix="0" xfId="0">
      <alignment horizontal="center" vertical="center"/>
    </xf>
    <xf numFmtId="0" fontId="31" fillId="0" borderId="20" applyAlignment="1" pivotButton="0" quotePrefix="0" xfId="0">
      <alignment horizontal="center" vertical="center"/>
    </xf>
    <xf numFmtId="4" fontId="32" fillId="18" borderId="20" applyAlignment="1" pivotButton="0" quotePrefix="0" xfId="0">
      <alignment horizontal="right" vertical="center"/>
    </xf>
    <xf numFmtId="166" fontId="32" fillId="18" borderId="20" applyAlignment="1" pivotButton="0" quotePrefix="0" xfId="0">
      <alignment horizontal="right" vertical="center"/>
    </xf>
    <xf numFmtId="164" fontId="33" fillId="0" borderId="20" applyAlignment="1" pivotButton="0" quotePrefix="0" xfId="0">
      <alignment horizontal="right" vertical="center"/>
    </xf>
    <xf numFmtId="164" fontId="32" fillId="18" borderId="20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2" fontId="32" fillId="18" borderId="20" applyAlignment="1" pivotButton="0" quotePrefix="0" xfId="0">
      <alignment horizontal="right" vertical="center"/>
    </xf>
    <xf numFmtId="0" fontId="31" fillId="0" borderId="20" applyAlignment="1" pivotButton="0" quotePrefix="0" xfId="0">
      <alignment horizontal="right" vertical="center"/>
    </xf>
    <xf numFmtId="0" fontId="34" fillId="0" borderId="20" applyAlignment="1" pivotButton="0" quotePrefix="0" xfId="0">
      <alignment horizontal="right" vertical="center"/>
    </xf>
    <xf numFmtId="165" fontId="30" fillId="0" borderId="0" pivotButton="0" quotePrefix="0" xfId="0"/>
    <xf numFmtId="164" fontId="32" fillId="0" borderId="0" pivotButton="0" quotePrefix="0" xfId="0"/>
    <xf numFmtId="168" fontId="0" fillId="0" borderId="0" pivotButton="0" quotePrefix="0" xfId="0"/>
    <xf numFmtId="0" fontId="15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0" applyAlignment="1" pivotButton="0" quotePrefix="0" xfId="0">
      <alignment horizontal="center" vertical="center"/>
    </xf>
    <xf numFmtId="0" fontId="13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21" fillId="2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/>
    </xf>
    <xf numFmtId="164" fontId="16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6" fillId="2" borderId="11" applyAlignment="1" pivotButton="0" quotePrefix="0" xfId="0">
      <alignment horizontal="center" vertical="center"/>
    </xf>
    <xf numFmtId="0" fontId="0" fillId="0" borderId="11" pivotButton="0" quotePrefix="0" xfId="0"/>
    <xf numFmtId="0" fontId="2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164" fontId="20" fillId="2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0" fontId="12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7" fillId="9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center" vertical="center"/>
    </xf>
    <xf numFmtId="164" fontId="16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6" fillId="2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4" fontId="16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6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6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9" fillId="5" borderId="0" applyAlignment="1" pivotButton="0" quotePrefix="0" xfId="0">
      <alignment horizontal="center" vertical="center"/>
    </xf>
    <xf numFmtId="164" fontId="10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/>
    </xf>
    <xf numFmtId="0" fontId="29" fillId="17" borderId="0" applyAlignment="1" pivotButton="0" quotePrefix="0" xfId="0">
      <alignment horizontal="left" vertical="center" wrapText="1"/>
    </xf>
    <xf numFmtId="169" fontId="35" fillId="0" borderId="21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4" fontId="37" fillId="19" borderId="21" applyAlignment="1" pivotButton="0" quotePrefix="0" xfId="0">
      <alignment horizontal="right" vertical="center"/>
    </xf>
    <xf numFmtId="166" fontId="37" fillId="19" borderId="21" applyAlignment="1" pivotButton="0" quotePrefix="0" xfId="0">
      <alignment horizontal="right" vertical="center"/>
    </xf>
    <xf numFmtId="164" fontId="38" fillId="0" borderId="21" applyAlignment="1" pivotButton="0" quotePrefix="0" xfId="0">
      <alignment horizontal="right" vertical="center"/>
    </xf>
    <xf numFmtId="164" fontId="37" fillId="19" borderId="21" applyAlignment="1" pivotButton="0" quotePrefix="0" xfId="0">
      <alignment horizontal="right" vertical="center"/>
    </xf>
    <xf numFmtId="170" fontId="38" fillId="0" borderId="21" applyAlignment="1" pivotButton="0" quotePrefix="0" xfId="0">
      <alignment horizontal="right" vertical="center"/>
    </xf>
    <xf numFmtId="171" fontId="38" fillId="0" borderId="21" applyAlignment="1" pivotButton="0" quotePrefix="0" xfId="0">
      <alignment horizontal="right" vertical="center"/>
    </xf>
    <xf numFmtId="2" fontId="37" fillId="19" borderId="21" applyAlignment="1" pivotButton="0" quotePrefix="0" xfId="0">
      <alignment horizontal="right" vertical="center"/>
    </xf>
    <xf numFmtId="0" fontId="36" fillId="0" borderId="21" applyAlignment="1" pivotButton="0" quotePrefix="0" xfId="0">
      <alignment horizontal="right" vertical="center"/>
    </xf>
    <xf numFmtId="0" fontId="39" fillId="0" borderId="21" applyAlignment="1" pivotButton="0" quotePrefix="0" xfId="0">
      <alignment horizontal="right" vertical="center"/>
    </xf>
    <xf numFmtId="167" fontId="33" fillId="0" borderId="20" applyAlignment="1" pivotButton="0" quotePrefix="0" xfId="0">
      <alignment horizontal="right" vertical="center"/>
    </xf>
    <xf numFmtId="168" fontId="33" fillId="0" borderId="20" applyAlignment="1" pivotButton="0" quotePrefix="0" xfId="0">
      <alignment horizontal="right" vertical="center"/>
    </xf>
    <xf numFmtId="169" fontId="35" fillId="0" borderId="0" pivotButton="0" quotePrefix="0" xfId="0"/>
    <xf numFmtId="164" fontId="37" fillId="0" borderId="0" pivotButton="0" quotePrefix="0" xfId="0"/>
    <xf numFmtId="171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4"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  <a:endParaRPr lang="lt-LT"/>
                </a:p>
              </txPr>
              <showLegendKey val="0"/>
              <showVal val="0"/>
              <showCatName val="0"/>
              <showSerName val="0"/>
              <showPercent val="0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lt-LT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Dashboard!$C$40:$I$40</f>
              <strCache>
                <ptCount val="4"/>
                <pt idx="0">
                  <v>2.</v>
                </pt>
                <pt idx="1">
                  <v>Weekly Oil Bulletin</v>
                </pt>
                <pt idx="3">
                  <v>Every Monday, enter diesel prices from energy.ec.europa.eu → Prices with taxes → LT/LV/EE/DK/SE/FI + EU avg.</v>
                </pt>
              </strCache>
            </strRef>
          </cat>
          <val>
            <numRef>
              <f>Dashboard!$C$41:$I$41</f>
              <numCache>
                <formatCode>0.000</formatCode>
                <ptCount val="7"/>
                <pt idx="0">
                  <v>0</v>
                </pt>
                <pt idx="1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lt-LT"/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3B82F6"/>
    <outlinePr summaryBelow="1" summaryRight="1"/>
    <pageSetUpPr/>
  </sheetPr>
  <dimension ref="A1:R54"/>
  <sheetViews>
    <sheetView showGridLines="0" tabSelected="1" zoomScale="90" zoomScaleNormal="90" workbookViewId="0">
      <selection activeCell="A1" sqref="A1"/>
    </sheetView>
  </sheetViews>
  <sheetFormatPr baseColWidth="8" defaultColWidth="8.6640625" defaultRowHeight="14.4"/>
  <cols>
    <col width="2" customWidth="1" style="51" min="1" max="2"/>
    <col width="18" customWidth="1" style="51" min="3" max="3"/>
    <col width="15" customWidth="1" style="51" min="4" max="4"/>
    <col width="12" customWidth="1" style="51" min="5" max="5"/>
    <col width="2" customWidth="1" style="51" min="6" max="6"/>
    <col width="18" customWidth="1" style="51" min="7" max="7"/>
    <col width="15" customWidth="1" style="51" min="8" max="8"/>
    <col width="12" customWidth="1" style="51" min="9" max="9"/>
    <col width="2" customWidth="1" style="51" min="10" max="10"/>
    <col width="18" customWidth="1" style="51" min="11" max="11"/>
    <col width="15" customWidth="1" style="51" min="12" max="12"/>
    <col width="12" customWidth="1" style="51" min="13" max="13"/>
    <col width="2" customWidth="1" style="51" min="14" max="14"/>
    <col width="18" customWidth="1" style="51" min="15" max="15"/>
    <col width="15" customWidth="1" style="51" min="16" max="16"/>
    <col width="12" customWidth="1" style="51" min="17" max="17"/>
    <col width="2" customWidth="1" style="51" min="18" max="18"/>
  </cols>
  <sheetData>
    <row r="1" ht="15" customHeight="1" s="5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2" customHeight="1" s="5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42" customHeight="1" s="51">
      <c r="A3" s="1" t="n"/>
      <c r="B3" s="1" t="n"/>
      <c r="C3" s="79" t="inlineStr">
        <is>
          <t>⛽  Fuel Price Tracker</t>
        </is>
      </c>
      <c r="R3" s="1" t="n"/>
    </row>
    <row r="4" ht="18" customHeight="1" s="51">
      <c r="A4" s="1" t="n"/>
      <c r="B4" s="1" t="n"/>
      <c r="C4" s="80" t="inlineStr">
        <is>
          <t>Wholesale &amp; Retail Diesel  ·  Daily &amp; Weekly Monitoring  ·  All prices EUR/litre incl. taxes</t>
        </is>
      </c>
      <c r="R4" s="1" t="n"/>
    </row>
    <row r="5" ht="6" customHeight="1" s="51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1" t="n"/>
    </row>
    <row r="6" ht="6" customHeight="1" s="5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6" customHeight="1" s="51">
      <c r="A7" s="1" t="n"/>
      <c r="B7" s="1" t="n"/>
      <c r="C7" s="3" t="n"/>
      <c r="D7" s="3" t="n"/>
      <c r="E7" s="3" t="n"/>
      <c r="F7" s="1" t="n"/>
      <c r="G7" s="4" t="n"/>
      <c r="H7" s="4" t="n"/>
      <c r="I7" s="4" t="n"/>
      <c r="J7" s="1" t="n"/>
      <c r="K7" s="5" t="n"/>
      <c r="L7" s="5" t="n"/>
      <c r="M7" s="5" t="n"/>
      <c r="N7" s="1" t="n"/>
      <c r="O7" s="6" t="n"/>
      <c r="P7" s="6" t="n"/>
      <c r="Q7" s="6" t="n"/>
      <c r="R7" s="1" t="n"/>
    </row>
    <row r="8" ht="18" customHeight="1" s="51">
      <c r="A8" s="1" t="n"/>
      <c r="B8" s="1" t="n"/>
      <c r="C8" s="67" t="inlineStr">
        <is>
          <t xml:space="preserve">  🇱🇹  ORLEN LT</t>
        </is>
      </c>
      <c r="F8" s="1" t="n"/>
      <c r="G8" s="92" t="inlineStr">
        <is>
          <t xml:space="preserve">  🇵🇱  ORLEN PL → EUR</t>
        </is>
      </c>
      <c r="J8" s="1" t="n"/>
      <c r="K8" s="65" t="inlineStr">
        <is>
          <t xml:space="preserve">  ⇄  Δ PL minus LT</t>
        </is>
      </c>
      <c r="N8" s="1" t="n"/>
      <c r="O8" s="69" t="inlineStr">
        <is>
          <t xml:space="preserve">  🇩🇪  ELVIS FSC DE</t>
        </is>
      </c>
      <c r="R8" s="1" t="n"/>
    </row>
    <row r="9" ht="39.75" customHeight="1" s="51">
      <c r="A9" s="1" t="n"/>
      <c r="B9" s="1" t="n"/>
      <c r="C9" s="56">
        <f>IF('Daily Tracker'!F5&lt;&gt;"",'Daily Tracker'!F5,"—")</f>
        <v/>
      </c>
      <c r="F9" s="1" t="n"/>
      <c r="G9" s="74">
        <f>IF('Daily Tracker'!E5&lt;&gt;"",'Daily Tracker'!E5,"—")</f>
        <v/>
      </c>
      <c r="J9" s="1" t="n"/>
      <c r="K9" s="90">
        <f>IF('Daily Tracker'!G5&lt;&gt;"",'Daily Tracker'!G5,"—")</f>
        <v/>
      </c>
      <c r="N9" s="1" t="n"/>
      <c r="O9" s="91">
        <f>IF('Daily Tracker'!I5&lt;&gt;"",'Daily Tracker'!I5,"—")</f>
        <v/>
      </c>
      <c r="R9" s="1" t="n"/>
    </row>
    <row r="10" ht="18" customHeight="1" s="51">
      <c r="A10" s="1" t="n"/>
      <c r="B10" s="1" t="n"/>
      <c r="C10" s="93" t="inlineStr">
        <is>
          <t>EUR / litre</t>
        </is>
      </c>
      <c r="F10" s="1" t="n"/>
      <c r="G10" s="52" t="inlineStr">
        <is>
          <t>EUR / litre</t>
        </is>
      </c>
      <c r="J10" s="1" t="n"/>
      <c r="K10" s="70" t="inlineStr">
        <is>
          <t>Spread EUR/l</t>
        </is>
      </c>
      <c r="N10" s="1" t="n"/>
      <c r="O10" s="81" t="inlineStr">
        <is>
          <t>EUR / litre</t>
        </is>
      </c>
      <c r="R10" s="1" t="n"/>
    </row>
    <row r="11" ht="6" customHeight="1" s="51">
      <c r="A11" s="1" t="n"/>
      <c r="B11" s="1" t="n"/>
      <c r="C11" s="7" t="n"/>
      <c r="D11" s="7" t="n"/>
      <c r="E11" s="7" t="n"/>
      <c r="F11" s="1" t="n"/>
      <c r="G11" s="8" t="n"/>
      <c r="H11" s="8" t="n"/>
      <c r="I11" s="8" t="n"/>
      <c r="J11" s="1" t="n"/>
      <c r="K11" s="9" t="n"/>
      <c r="L11" s="9" t="n"/>
      <c r="M11" s="9" t="n"/>
      <c r="N11" s="1" t="n"/>
      <c r="O11" s="10" t="n"/>
      <c r="P11" s="10" t="n"/>
      <c r="Q11" s="10" t="n"/>
      <c r="R11" s="1" t="n"/>
    </row>
    <row r="12" ht="6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4" customHeight="1" s="51">
      <c r="A13" s="1" t="n"/>
      <c r="B13" s="1" t="n"/>
      <c r="C13" s="71">
        <f>IF('Daily Tracker'!L5&lt;&gt;"","BSH/ST1 SE: "&amp;TEXT('Daily Tracker'!L5,"0.000")&amp;" EUR/l","")</f>
        <v/>
      </c>
      <c r="D13" s="72" t="n"/>
      <c r="E13" s="72" t="n"/>
      <c r="F13" s="1" t="n"/>
      <c r="G13" s="53">
        <f>IF(AND('Daily Tracker'!E5&lt;&gt;"",'Daily Tracker'!F5&lt;&gt;""),"PL vs LT: "&amp;TEXT(('Daily Tracker'!E5-'Daily Tracker'!F5)/'Daily Tracker'!F5,"+0.0%;-0.0%"),"")</f>
        <v/>
      </c>
      <c r="H13" s="54" t="n"/>
      <c r="I13" s="54" t="n"/>
      <c r="J13" s="1" t="n"/>
      <c r="K13" s="64">
        <f>"Latest daily entry: "&amp;TEXT('Daily Tracker'!A5,"YYYY-MM-DD")</f>
        <v/>
      </c>
      <c r="R13" s="1" t="n"/>
    </row>
    <row r="14" ht="15" customHeight="1" s="5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 ht="30" customHeight="1" s="51">
      <c r="A15" s="1" t="n"/>
      <c r="B15" s="1" t="n"/>
      <c r="C15" s="88" t="inlineStr">
        <is>
          <t>📊  EU WEEKLY OIL BULLETIN — LATEST DIESEL PRICES WITH TAXES</t>
        </is>
      </c>
      <c r="D15" s="89" t="n"/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1" t="n"/>
    </row>
    <row r="16" ht="21.75" customHeight="1" s="51">
      <c r="A16" s="1" t="n"/>
      <c r="B16" s="1" t="n"/>
      <c r="C16" s="50" t="inlineStr">
        <is>
          <t>🇱🇹 Lithuania</t>
        </is>
      </c>
      <c r="E16" s="50" t="inlineStr">
        <is>
          <t>🇱🇻 Latvia</t>
        </is>
      </c>
      <c r="G16" s="50" t="inlineStr">
        <is>
          <t>🇪🇪 Estonia</t>
        </is>
      </c>
      <c r="I16" s="50" t="inlineStr">
        <is>
          <t>🇩🇰 Denmark</t>
        </is>
      </c>
      <c r="K16" s="50" t="inlineStr">
        <is>
          <t>🇸🇪 Sweden</t>
        </is>
      </c>
      <c r="M16" s="50" t="inlineStr">
        <is>
          <t>🇫🇮 Finland</t>
        </is>
      </c>
      <c r="O16" s="50" t="inlineStr">
        <is>
          <t>🇪🇺 EU Average</t>
        </is>
      </c>
      <c r="Q16" s="1" t="n"/>
      <c r="R16" s="1" t="n"/>
    </row>
    <row r="17" ht="36" customHeight="1" s="51">
      <c r="A17" s="1" t="n"/>
      <c r="B17" s="1" t="n"/>
      <c r="C17" s="75">
        <f>IF('Weekly Oil Bulletin'!B4&lt;&gt;"",'Weekly Oil Bulletin'!B4,"")</f>
        <v/>
      </c>
      <c r="D17" s="76" t="n"/>
      <c r="E17" s="60">
        <f>IF('Weekly Oil Bulletin'!C4&lt;&gt;"",'Weekly Oil Bulletin'!C4,"")</f>
        <v/>
      </c>
      <c r="F17" s="61" t="n"/>
      <c r="G17" s="62">
        <f>IF('Weekly Oil Bulletin'!D4&lt;&gt;"",'Weekly Oil Bulletin'!D4,"")</f>
        <v/>
      </c>
      <c r="H17" s="63" t="n"/>
      <c r="I17" s="77">
        <f>IF('Weekly Oil Bulletin'!E4&lt;&gt;"",'Weekly Oil Bulletin'!E4,"")</f>
        <v/>
      </c>
      <c r="J17" s="78" t="n"/>
      <c r="K17" s="82">
        <f>IF('Weekly Oil Bulletin'!F4&lt;&gt;"",'Weekly Oil Bulletin'!F4,"")</f>
        <v/>
      </c>
      <c r="L17" s="83" t="n"/>
      <c r="M17" s="84">
        <f>IF('Weekly Oil Bulletin'!G4&lt;&gt;"",'Weekly Oil Bulletin'!G4,"")</f>
        <v/>
      </c>
      <c r="N17" s="85" t="n"/>
      <c r="O17" s="86">
        <f>IF('Weekly Oil Bulletin'!H4&lt;&gt;"",'Weekly Oil Bulletin'!H4,"")</f>
        <v/>
      </c>
      <c r="P17" s="87" t="n"/>
      <c r="Q17" s="1" t="n"/>
      <c r="R17" s="1" t="n"/>
    </row>
    <row r="18" ht="15.75" customHeight="1" s="51">
      <c r="A18" s="1" t="n"/>
      <c r="B18" s="1" t="n"/>
      <c r="C18" s="58" t="inlineStr">
        <is>
          <t>EUR/l</t>
        </is>
      </c>
      <c r="E18" s="58" t="inlineStr">
        <is>
          <t>EUR/l</t>
        </is>
      </c>
      <c r="G18" s="58" t="inlineStr">
        <is>
          <t>EUR/l</t>
        </is>
      </c>
      <c r="I18" s="58" t="inlineStr">
        <is>
          <t>EUR/l</t>
        </is>
      </c>
      <c r="K18" s="58" t="inlineStr">
        <is>
          <t>EUR/l</t>
        </is>
      </c>
      <c r="M18" s="58" t="inlineStr">
        <is>
          <t>EUR/l</t>
        </is>
      </c>
      <c r="O18" s="58" t="inlineStr">
        <is>
          <t>EUR/l</t>
        </is>
      </c>
      <c r="Q18" s="1" t="n"/>
      <c r="R18" s="1" t="n"/>
    </row>
    <row r="19" ht="15.75" customHeight="1" s="51">
      <c r="A19" s="1" t="n"/>
      <c r="B19" s="1" t="n"/>
      <c r="C19" s="58">
        <f>IF('Weekly Oil Bulletin'!A4&lt;&gt;"","Data from week of "&amp;TEXT('Weekly Oil Bulletin'!A4,"YYYY-MM-DD")&amp;"  ·  Source: EC Weekly Oil Bulletin","")</f>
        <v/>
      </c>
      <c r="Q19" s="1" t="n"/>
      <c r="R19" s="1" t="n"/>
    </row>
    <row r="20" ht="15" customHeight="1" s="5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 ht="24" customHeight="1" s="51">
      <c r="A21" s="1" t="n"/>
      <c r="B21" s="1" t="n"/>
      <c r="C21" s="66" t="inlineStr">
        <is>
          <t>COUNTRY COMPARISON CHART</t>
        </is>
      </c>
      <c r="R21" s="1" t="n"/>
    </row>
    <row r="22" ht="15" customHeight="1" s="51">
      <c r="A22" s="1" t="n"/>
      <c r="B22" s="1" t="n"/>
      <c r="C22" s="58" t="inlineStr">
        <is>
          <t>LT</t>
        </is>
      </c>
      <c r="D22" s="1" t="n"/>
      <c r="E22" s="58" t="inlineStr">
        <is>
          <t>LV</t>
        </is>
      </c>
      <c r="F22" s="1" t="n"/>
      <c r="G22" s="58" t="inlineStr">
        <is>
          <t>EE</t>
        </is>
      </c>
      <c r="H22" s="1" t="n"/>
      <c r="I22" s="58" t="inlineStr">
        <is>
          <t>DK</t>
        </is>
      </c>
      <c r="J22" s="1" t="n"/>
      <c r="K22" s="58" t="inlineStr">
        <is>
          <t>SE</t>
        </is>
      </c>
      <c r="L22" s="1" t="n"/>
      <c r="M22" s="58" t="inlineStr">
        <is>
          <t>FI</t>
        </is>
      </c>
      <c r="N22" s="1" t="n"/>
      <c r="O22" s="58" t="inlineStr">
        <is>
          <t>EU Avg</t>
        </is>
      </c>
      <c r="P22" s="1" t="n"/>
      <c r="Q22" s="1" t="n"/>
      <c r="R22" s="1" t="n"/>
    </row>
    <row r="23" ht="15" customHeight="1" s="51">
      <c r="A23" s="1" t="n"/>
      <c r="B23" s="1" t="n"/>
      <c r="C23" s="12">
        <f>'Weekly Oil Bulletin'!B4</f>
        <v/>
      </c>
      <c r="D23" s="1" t="n"/>
      <c r="E23" s="12">
        <f>'Weekly Oil Bulletin'!C4</f>
        <v/>
      </c>
      <c r="F23" s="1" t="n"/>
      <c r="G23" s="12">
        <f>'Weekly Oil Bulletin'!D4</f>
        <v/>
      </c>
      <c r="H23" s="1" t="n"/>
      <c r="I23" s="12">
        <f>'Weekly Oil Bulletin'!E4</f>
        <v/>
      </c>
      <c r="J23" s="1" t="n"/>
      <c r="K23" s="12">
        <f>'Weekly Oil Bulletin'!F4</f>
        <v/>
      </c>
      <c r="L23" s="1" t="n"/>
      <c r="M23" s="12">
        <f>'Weekly Oil Bulletin'!G4</f>
        <v/>
      </c>
      <c r="N23" s="1" t="n"/>
      <c r="O23" s="12">
        <f>'Weekly Oil Bulletin'!H4</f>
        <v/>
      </c>
      <c r="P23" s="1" t="n"/>
      <c r="Q23" s="1" t="n"/>
      <c r="R23" s="1" t="n"/>
    </row>
    <row r="24" ht="15" customHeight="1" s="5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 ht="15" customHeight="1" s="5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 ht="15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 ht="15" customHeight="1" s="5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 ht="15" customHeight="1" s="5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 ht="15" customHeight="1" s="5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 ht="15" customHeight="1" s="5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 ht="15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 ht="15" customHeight="1" s="5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15" customHeight="1" s="5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 ht="15" customHeight="1" s="5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 ht="15" customHeight="1" s="5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 ht="15" customHeight="1" s="5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 ht="15" customHeight="1" s="5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 ht="24" customHeight="1" s="51">
      <c r="A38" s="1" t="n"/>
      <c r="B38" s="1" t="n"/>
      <c r="C38" s="73" t="inlineStr">
        <is>
          <t>📋  HOW TO USE</t>
        </is>
      </c>
      <c r="R38" s="1" t="n"/>
    </row>
    <row r="39" ht="21.75" customHeight="1" s="51">
      <c r="A39" s="1" t="n"/>
      <c r="B39" s="1" t="n"/>
      <c r="C39" s="13" t="inlineStr">
        <is>
          <t>1.</t>
        </is>
      </c>
      <c r="D39" s="59" t="inlineStr">
        <is>
          <t>Daily Tracker</t>
        </is>
      </c>
      <c r="F39" s="55" t="inlineStr">
        <is>
          <t>Enter prices in BLUE cells. Row 5 = newest. Formulas auto-convert PLN→EUR, SEK→EUR, and calculate PL vs LT delta.</t>
        </is>
      </c>
      <c r="R39" s="1" t="n"/>
    </row>
    <row r="40" ht="21.75" customHeight="1" s="51">
      <c r="A40" s="1" t="n"/>
      <c r="B40" s="1" t="n"/>
      <c r="C40" s="13" t="inlineStr">
        <is>
          <t>2.</t>
        </is>
      </c>
      <c r="D40" s="59" t="inlineStr">
        <is>
          <t>Weekly Oil Bulletin</t>
        </is>
      </c>
      <c r="F40" s="55" t="inlineStr">
        <is>
          <t>Every Monday, enter diesel prices from energy.ec.europa.eu → Prices with taxes → LT/LV/EE/DK/SE/FI + EU avg.</t>
        </is>
      </c>
      <c r="R40" s="1" t="n"/>
    </row>
    <row r="41" ht="21.75" customHeight="1" s="51">
      <c r="A41" s="1" t="n"/>
      <c r="B41" s="1" t="n"/>
      <c r="C41" s="14" t="inlineStr">
        <is>
          <t>3.</t>
        </is>
      </c>
      <c r="D41" s="68" t="inlineStr">
        <is>
          <t>Dashboard</t>
        </is>
      </c>
      <c r="F41" s="57" t="inlineStr">
        <is>
          <t>Updates automatically from both sheets. KPI cards pull the newest Daily row; EU section pulls the newest Weekly row.</t>
        </is>
      </c>
      <c r="R41" s="1" t="n"/>
    </row>
    <row r="42" ht="21.75" customHeight="1" s="51">
      <c r="A42" s="1" t="n"/>
      <c r="B42" s="1" t="n"/>
      <c r="C42" s="13" t="inlineStr">
        <is>
          <t>4.</t>
        </is>
      </c>
      <c r="D42" s="59" t="inlineStr">
        <is>
          <t>SharePoint</t>
        </is>
      </c>
      <c r="F42" s="55" t="inlineStr">
        <is>
          <t>Edit directly in browser — click 'Edit in Browser'. No download needed. All formatting preserved in Excel Online.</t>
        </is>
      </c>
      <c r="R42" s="1" t="n"/>
    </row>
    <row r="43" ht="15" customHeight="1" s="5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 ht="15" customHeight="1" s="5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 ht="15" customHeight="1" s="5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 ht="15" customHeight="1" s="5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 ht="15" customHeight="1" s="5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 ht="15" customHeight="1" s="5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 ht="15" customHeight="1" s="5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 ht="15" customHeight="1" s="5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 ht="15" customHeight="1" s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 ht="15" customHeight="1" s="5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 ht="15" customHeight="1" s="5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 ht="15" customHeight="1" s="5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D40:E40"/>
    <mergeCell ref="E17:F17"/>
    <mergeCell ref="C18:D18"/>
    <mergeCell ref="G17:H17"/>
    <mergeCell ref="C21:Q21"/>
    <mergeCell ref="K8:M8"/>
    <mergeCell ref="K13:Q13"/>
    <mergeCell ref="C16:D16"/>
    <mergeCell ref="I16:J16"/>
    <mergeCell ref="F40:Q40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K17:L17"/>
    <mergeCell ref="O10:Q10"/>
    <mergeCell ref="M17:N17"/>
    <mergeCell ref="D39:E39"/>
    <mergeCell ref="O17:P17"/>
    <mergeCell ref="C15:Q15"/>
    <mergeCell ref="E16:F16"/>
    <mergeCell ref="D42:E42"/>
    <mergeCell ref="G16:H16"/>
    <mergeCell ref="K9:M9"/>
    <mergeCell ref="O9:Q9"/>
    <mergeCell ref="G8:I8"/>
    <mergeCell ref="C19:P19"/>
    <mergeCell ref="E18:F18"/>
    <mergeCell ref="K18:L18"/>
    <mergeCell ref="C10:E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06B6D4"/>
    <outlinePr summaryBelow="1" summaryRight="1"/>
    <pageSetUpPr/>
  </sheetPr>
  <dimension ref="A1:O37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8" defaultColWidth="8.6640625" defaultRowHeight="14.4"/>
  <cols>
    <col width="12" customWidth="1" style="51" min="1" max="1"/>
    <col width="5" customWidth="1" style="51" min="2" max="2"/>
    <col width="12" customWidth="1" style="51" min="3" max="3"/>
    <col width="10" customWidth="1" style="51" min="4" max="4"/>
    <col width="11" customWidth="1" style="51" min="5" max="6"/>
    <col width="10" customWidth="1" style="51" min="7" max="7"/>
    <col width="8" customWidth="1" style="51" min="8" max="8"/>
    <col width="11" customWidth="1" style="51" min="9" max="10"/>
    <col width="10" customWidth="1" style="51" min="11" max="11"/>
    <col width="11" customWidth="1" style="51" min="12" max="12"/>
    <col width="20" customWidth="1" style="51" min="13" max="13"/>
    <col width="8" customWidth="1" style="51" min="14" max="14"/>
  </cols>
  <sheetData>
    <row r="1" ht="36" customHeight="1" s="51">
      <c r="A1" s="98" t="inlineStr">
        <is>
          <t>⛽  Daily Fuel Prices</t>
        </is>
      </c>
      <c r="O1" s="1" t="n"/>
    </row>
    <row r="2" ht="18" customHeight="1" s="51">
      <c r="A2" s="80" t="inlineStr">
        <is>
          <t>🔵 Blue cells = manual input   ·   Formulas auto-calculate conversions and deltas   ·   Row 5 = most recent</t>
        </is>
      </c>
      <c r="O2" s="1" t="n"/>
    </row>
    <row r="3" ht="21.75" customHeight="1" s="51">
      <c r="A3" s="96" t="n"/>
      <c r="C3" s="95" t="inlineStr">
        <is>
          <t>ORLEN PL — EKODIESEL</t>
        </is>
      </c>
      <c r="F3" s="15" t="inlineStr">
        <is>
          <t>ORLEN LT</t>
        </is>
      </c>
      <c r="G3" s="97" t="inlineStr">
        <is>
          <t>Δ PL vs LT</t>
        </is>
      </c>
      <c r="I3" s="16" t="inlineStr">
        <is>
          <t>ELVIS DE</t>
        </is>
      </c>
      <c r="J3" s="94" t="inlineStr">
        <is>
          <t>BSH / ST1 SE</t>
        </is>
      </c>
      <c r="M3" s="96" t="n"/>
      <c r="O3" s="1" t="n"/>
    </row>
    <row r="4" ht="31.5" customHeight="1" s="51">
      <c r="A4" s="17" t="inlineStr">
        <is>
          <t>Date</t>
        </is>
      </c>
      <c r="B4" s="17" t="inlineStr">
        <is>
          <t>Day</t>
        </is>
      </c>
      <c r="C4" s="17" t="inlineStr">
        <is>
          <t>PLN/m³</t>
        </is>
      </c>
      <c r="D4" s="17" t="inlineStr">
        <is>
          <t>PLN/EUR</t>
        </is>
      </c>
      <c r="E4" s="17" t="inlineStr">
        <is>
          <t>EUR/l</t>
        </is>
      </c>
      <c r="F4" s="17" t="inlineStr">
        <is>
          <t>EUR/l</t>
        </is>
      </c>
      <c r="G4" s="17" t="inlineStr">
        <is>
          <t>Δ EUR/l</t>
        </is>
      </c>
      <c r="H4" s="17" t="inlineStr">
        <is>
          <t>Δ %</t>
        </is>
      </c>
      <c r="I4" s="17" t="inlineStr">
        <is>
          <t>EUR/l</t>
        </is>
      </c>
      <c r="J4" s="17" t="inlineStr">
        <is>
          <t>SEK/l</t>
        </is>
      </c>
      <c r="K4" s="17" t="inlineStr">
        <is>
          <t>SEK/EUR</t>
        </is>
      </c>
      <c r="L4" s="17" t="inlineStr">
        <is>
          <t>EUR/l</t>
        </is>
      </c>
      <c r="M4" s="17" t="inlineStr">
        <is>
          <t>Notes</t>
        </is>
      </c>
      <c r="N4" s="17" t="inlineStr">
        <is>
          <t>Freq</t>
        </is>
      </c>
      <c r="O4" s="1" t="n"/>
    </row>
    <row r="5" ht="21.75" customHeight="1" s="51">
      <c r="A5" s="100" t="n">
        <v>46099.57810183834</v>
      </c>
      <c r="B5" s="101" t="inlineStr">
        <is>
          <t>Wed</t>
        </is>
      </c>
      <c r="C5" s="102" t="n">
        <v>6565</v>
      </c>
      <c r="D5" s="103" t="n">
        <v>4.2593</v>
      </c>
      <c r="E5" s="104" t="n">
        <v>1.5413</v>
      </c>
      <c r="F5" s="105" t="n">
        <v>1.864</v>
      </c>
      <c r="G5" s="106" t="n">
        <v>-0.3227</v>
      </c>
      <c r="H5" s="107" t="n">
        <v>-0.1731</v>
      </c>
      <c r="I5" s="105" t="n">
        <v>2.163</v>
      </c>
      <c r="J5" s="108" t="n">
        <v>22.44</v>
      </c>
      <c r="K5" s="103" t="n">
        <v>10.7055</v>
      </c>
      <c r="L5" s="104" t="n">
        <v>2.0961</v>
      </c>
      <c r="M5" s="109" t="inlineStr">
        <is>
          <t>Auto: FX,PL,LT,DE,SE</t>
        </is>
      </c>
      <c r="N5" s="110" t="inlineStr">
        <is>
          <t>Auto</t>
        </is>
      </c>
    </row>
    <row r="6" ht="21.75" customHeight="1" s="51">
      <c r="A6" s="100" t="n">
        <v>46098.39469012732</v>
      </c>
      <c r="B6" s="101" t="inlineStr">
        <is>
          <t>Tue</t>
        </is>
      </c>
      <c r="C6" s="102" t="n">
        <v>6577</v>
      </c>
      <c r="D6" s="103" t="n">
        <v>4.2683</v>
      </c>
      <c r="E6" s="104" t="n">
        <v>1.5409</v>
      </c>
      <c r="F6" s="105" t="n">
        <v>1.8374</v>
      </c>
      <c r="G6" s="106" t="n">
        <v>-0.2965</v>
      </c>
      <c r="H6" s="107" t="n">
        <v>-0.1614</v>
      </c>
      <c r="I6" s="105" t="n"/>
      <c r="J6" s="108" t="n"/>
      <c r="K6" s="103" t="n">
        <v>10.769</v>
      </c>
      <c r="L6" s="104" t="n"/>
      <c r="M6" s="109" t="inlineStr">
        <is>
          <t>Auto: FX,PL,LT</t>
        </is>
      </c>
      <c r="N6" s="110" t="inlineStr">
        <is>
          <t>Auto</t>
        </is>
      </c>
    </row>
    <row r="7" ht="21.75" customHeight="1" s="51">
      <c r="A7" s="100" t="n">
        <v>46097.40237722222</v>
      </c>
      <c r="B7" s="101" t="inlineStr">
        <is>
          <t>Mon</t>
        </is>
      </c>
      <c r="C7" s="102" t="n">
        <v>6495</v>
      </c>
      <c r="D7" s="103" t="n">
        <v>4.2675</v>
      </c>
      <c r="E7" s="104" t="n">
        <v>1.522</v>
      </c>
      <c r="F7" s="105" t="n">
        <v>1.818</v>
      </c>
      <c r="G7" s="106" t="n">
        <v>-0.296</v>
      </c>
      <c r="H7" s="107" t="n">
        <v>-0.1628</v>
      </c>
      <c r="I7" s="105" t="n">
        <v>2.163</v>
      </c>
      <c r="J7" s="108" t="n">
        <v>21.84</v>
      </c>
      <c r="K7" s="103" t="n">
        <v>10.7545</v>
      </c>
      <c r="L7" s="104" t="n">
        <v>2.0308</v>
      </c>
      <c r="M7" s="109" t="inlineStr">
        <is>
          <t>Auto: FX,PL,LT</t>
        </is>
      </c>
      <c r="N7" s="110" t="inlineStr">
        <is>
          <t>Auto</t>
        </is>
      </c>
    </row>
    <row r="8" ht="21.75" customHeight="1" s="51">
      <c r="A8" s="100" t="n">
        <v>46094.3788481713</v>
      </c>
      <c r="B8" s="101" t="inlineStr">
        <is>
          <t>Fri</t>
        </is>
      </c>
      <c r="C8" s="102" t="n">
        <v>6399</v>
      </c>
      <c r="D8" s="103" t="n">
        <v>4.2578</v>
      </c>
      <c r="E8" s="104" t="n">
        <v>1.5029</v>
      </c>
      <c r="F8" s="105" t="n">
        <v>1.7561</v>
      </c>
      <c r="G8" s="106" t="n">
        <v>-0.2532</v>
      </c>
      <c r="H8" s="107" t="n">
        <v>-0.1442</v>
      </c>
      <c r="I8" s="105" t="n">
        <v>2.163</v>
      </c>
      <c r="J8" s="108" t="n">
        <v>21.04</v>
      </c>
      <c r="K8" s="103" t="n">
        <v>10.7108</v>
      </c>
      <c r="L8" s="104" t="n">
        <v>1.9644</v>
      </c>
      <c r="M8" s="109" t="inlineStr">
        <is>
          <t>Auto: FX,PL,LT,DE,SE</t>
        </is>
      </c>
      <c r="N8" s="110" t="inlineStr">
        <is>
          <t>Auto</t>
        </is>
      </c>
    </row>
    <row r="9" ht="21.75" customHeight="1" s="51">
      <c r="A9" s="36" t="n">
        <v>46093.30496681713</v>
      </c>
      <c r="B9" s="37" t="inlineStr">
        <is>
          <t>Thu</t>
        </is>
      </c>
      <c r="C9" s="38" t="n">
        <v>6192</v>
      </c>
      <c r="D9" s="39" t="n">
        <v>4.2578</v>
      </c>
      <c r="E9" s="40" t="n">
        <v>1.5029</v>
      </c>
      <c r="F9" s="41" t="n"/>
      <c r="G9" s="111" t="n"/>
      <c r="H9" s="112" t="n"/>
      <c r="I9" s="41" t="n"/>
      <c r="J9" s="44" t="n">
        <v>20.49</v>
      </c>
      <c r="K9" s="39" t="n">
        <v>10.7108</v>
      </c>
      <c r="L9" s="40" t="n">
        <v>1.9644</v>
      </c>
      <c r="M9" s="45" t="inlineStr">
        <is>
          <t>Auto: FX,PL,DE,SE</t>
        </is>
      </c>
      <c r="N9" s="46" t="inlineStr">
        <is>
          <t>Backfill</t>
        </is>
      </c>
    </row>
    <row r="10" ht="21.75" customHeight="1" s="51">
      <c r="A10" s="36" t="n">
        <v>46092.30496681713</v>
      </c>
      <c r="B10" s="37" t="inlineStr">
        <is>
          <t>Wed</t>
        </is>
      </c>
      <c r="C10" s="38" t="n">
        <v>6195</v>
      </c>
      <c r="D10" s="39" t="n">
        <v>4.2523</v>
      </c>
      <c r="E10" s="40" t="n">
        <v>1.5048</v>
      </c>
      <c r="F10" s="41" t="n"/>
      <c r="G10" s="111" t="n"/>
      <c r="H10" s="112" t="n"/>
      <c r="I10" s="41" t="n">
        <v>2.137</v>
      </c>
      <c r="J10" s="44" t="n">
        <v>21.59</v>
      </c>
      <c r="K10" s="39" t="n">
        <v>10.6543</v>
      </c>
      <c r="L10" s="40" t="n">
        <v>1.9748</v>
      </c>
      <c r="M10" s="45" t="inlineStr">
        <is>
          <t>Auto: FX,PL,DE,SE</t>
        </is>
      </c>
      <c r="N10" s="46" t="inlineStr">
        <is>
          <t>Backfill</t>
        </is>
      </c>
    </row>
    <row r="11" ht="21.75" customHeight="1" s="51">
      <c r="A11" s="36" t="n">
        <v>46091.30496681713</v>
      </c>
      <c r="B11" s="37" t="inlineStr">
        <is>
          <t>Tue</t>
        </is>
      </c>
      <c r="C11" s="38" t="n">
        <v>6359</v>
      </c>
      <c r="D11" s="39" t="n">
        <v>4.2548</v>
      </c>
      <c r="E11" s="40" t="n">
        <v>1.494547334774843</v>
      </c>
      <c r="F11" s="41" t="n">
        <v>1.808</v>
      </c>
      <c r="G11" s="111">
        <f>E8-F8</f>
        <v/>
      </c>
      <c r="H11" s="112" t="n">
        <v>-0.1733698369608172</v>
      </c>
      <c r="I11" s="41" t="n">
        <v>2.198</v>
      </c>
      <c r="J11" s="44" t="n">
        <v>21.59</v>
      </c>
      <c r="K11" s="39" t="n">
        <v>10.606</v>
      </c>
      <c r="L11" s="40" t="n">
        <v>1.9838</v>
      </c>
      <c r="M11" s="45" t="inlineStr">
        <is>
          <t>Auto: FX,PL,DE,SE</t>
        </is>
      </c>
      <c r="N11" s="46" t="inlineStr">
        <is>
          <t>Backfill</t>
        </is>
      </c>
    </row>
    <row r="12" ht="21.75" customHeight="1" s="51">
      <c r="A12" s="36" t="n">
        <v>46090.30496681713</v>
      </c>
      <c r="B12" s="37" t="inlineStr">
        <is>
          <t>Mon</t>
        </is>
      </c>
      <c r="C12" s="38" t="n"/>
      <c r="D12" s="39" t="n">
        <v>4.2785</v>
      </c>
      <c r="E12" s="40" t="n"/>
      <c r="F12" s="41" t="n">
        <v>1.792</v>
      </c>
      <c r="G12" s="111" t="n"/>
      <c r="H12" s="112" t="n"/>
      <c r="I12" s="41" t="n">
        <v>2.175</v>
      </c>
      <c r="J12" s="44" t="n">
        <v>20.99</v>
      </c>
      <c r="K12" s="39" t="n">
        <v>10.6945</v>
      </c>
      <c r="L12" s="40" t="n">
        <v>1.962691102903361</v>
      </c>
      <c r="M12" s="45" t="inlineStr">
        <is>
          <t>Auto: FX,DE</t>
        </is>
      </c>
      <c r="N12" s="46" t="inlineStr">
        <is>
          <t>Backfill</t>
        </is>
      </c>
    </row>
    <row r="13" ht="21.75" customHeight="1" s="51">
      <c r="A13" s="36" t="n">
        <v>46087.30496681713</v>
      </c>
      <c r="B13" s="37" t="inlineStr">
        <is>
          <t>Fri</t>
        </is>
      </c>
      <c r="C13" s="38" t="n">
        <v>6150</v>
      </c>
      <c r="D13" s="39" t="n">
        <v>4.2875</v>
      </c>
      <c r="E13" s="40" t="n">
        <v>1.434402332361516</v>
      </c>
      <c r="F13" s="41" t="n">
        <v>1.845</v>
      </c>
      <c r="G13" s="111">
        <f>E10-F10</f>
        <v/>
      </c>
      <c r="H13" s="112" t="n">
        <v>-0.2225461613216715</v>
      </c>
      <c r="I13" s="41" t="n">
        <v>2.089</v>
      </c>
      <c r="J13" s="44" t="n">
        <v>19.94</v>
      </c>
      <c r="K13" s="39" t="n">
        <v>10.693</v>
      </c>
      <c r="L13" s="40" t="n">
        <v>1.864771345740204</v>
      </c>
      <c r="M13" s="45" t="inlineStr">
        <is>
          <t>Auto: FX,DE</t>
        </is>
      </c>
      <c r="N13" s="46" t="inlineStr">
        <is>
          <t>Backfill</t>
        </is>
      </c>
    </row>
    <row r="14" ht="21.75" customHeight="1" s="51">
      <c r="A14" s="36" t="n">
        <v>46086.30496681713</v>
      </c>
      <c r="B14" s="37" t="inlineStr">
        <is>
          <t>Thu</t>
        </is>
      </c>
      <c r="C14" s="38" t="n">
        <v>5760</v>
      </c>
      <c r="D14" s="39" t="n">
        <v>4.2725</v>
      </c>
      <c r="E14" s="40" t="n">
        <v>1.34815681685196</v>
      </c>
      <c r="F14" s="41" t="n">
        <v>1.734</v>
      </c>
      <c r="G14" s="111">
        <f>E11-F11</f>
        <v/>
      </c>
      <c r="H14" s="112" t="n">
        <v>-0.2225162532572317</v>
      </c>
      <c r="I14" s="41" t="n">
        <v>2.055</v>
      </c>
      <c r="J14" s="44" t="n">
        <v>19.94</v>
      </c>
      <c r="K14" s="39" t="n">
        <v>10.6885</v>
      </c>
      <c r="L14" s="40" t="n">
        <v>1.865556439163587</v>
      </c>
      <c r="M14" s="45" t="inlineStr">
        <is>
          <t>Auto: FX</t>
        </is>
      </c>
      <c r="N14" s="46" t="inlineStr">
        <is>
          <t>Backfill</t>
        </is>
      </c>
    </row>
    <row r="15" ht="21.75" customHeight="1" s="51">
      <c r="A15" s="36" t="n">
        <v>46085.30496681713</v>
      </c>
      <c r="B15" s="37" t="inlineStr">
        <is>
          <t>Wed</t>
        </is>
      </c>
      <c r="C15" s="38" t="n">
        <v>5681</v>
      </c>
      <c r="D15" s="39" t="n">
        <v>4.2588</v>
      </c>
      <c r="E15" s="40" t="n">
        <v>1.333943833943834</v>
      </c>
      <c r="F15" s="41" t="n">
        <v>1.738</v>
      </c>
      <c r="G15" s="111">
        <f>E12-F12</f>
        <v/>
      </c>
      <c r="H15" s="112" t="n">
        <v>-0.2324834096985995</v>
      </c>
      <c r="I15" s="41" t="n">
        <v>2.011</v>
      </c>
      <c r="J15" s="44" t="n">
        <v>18.64</v>
      </c>
      <c r="K15" s="39" t="n">
        <v>10.6785</v>
      </c>
      <c r="L15" s="40" t="n">
        <v>1.74556351547502</v>
      </c>
      <c r="M15" s="45" t="inlineStr">
        <is>
          <t>Auto: FX</t>
        </is>
      </c>
      <c r="N15" s="46" t="inlineStr">
        <is>
          <t>Backfill</t>
        </is>
      </c>
    </row>
    <row r="16" ht="21.75" customHeight="1" s="51">
      <c r="A16" s="36" t="n">
        <v>46084.30496681713</v>
      </c>
      <c r="B16" s="37" t="inlineStr">
        <is>
          <t>Tue</t>
        </is>
      </c>
      <c r="C16" s="38" t="n">
        <v>5237</v>
      </c>
      <c r="D16" s="39" t="n">
        <v>4.2865</v>
      </c>
      <c r="E16" s="40" t="n">
        <v>1.221742680508573</v>
      </c>
      <c r="F16" s="41" t="n">
        <v>1.619</v>
      </c>
      <c r="G16" s="111">
        <f>E13-F13</f>
        <v/>
      </c>
      <c r="H16" s="112" t="n">
        <v>-0.2453720318044636</v>
      </c>
      <c r="I16" s="41" t="n">
        <v>1.916</v>
      </c>
      <c r="J16" s="44" t="n">
        <v>17.34</v>
      </c>
      <c r="K16" s="39" t="n">
        <v>10.7265</v>
      </c>
      <c r="L16" s="40" t="n">
        <v>1.61655712487764</v>
      </c>
      <c r="M16" s="45" t="inlineStr">
        <is>
          <t>Auto: FX</t>
        </is>
      </c>
      <c r="N16" s="46" t="inlineStr">
        <is>
          <t>Backfill</t>
        </is>
      </c>
    </row>
    <row r="17" ht="21.75" customHeight="1" s="51">
      <c r="A17" s="36" t="n">
        <v>46083.30496681713</v>
      </c>
      <c r="B17" s="37" t="inlineStr">
        <is>
          <t>Mon</t>
        </is>
      </c>
      <c r="C17" s="38" t="n"/>
      <c r="D17" s="39" t="n">
        <v>4.244</v>
      </c>
      <c r="E17" s="40" t="n"/>
      <c r="F17" s="41" t="n">
        <v>1.506</v>
      </c>
      <c r="G17" s="111" t="n"/>
      <c r="H17" s="112" t="n"/>
      <c r="I17" s="41" t="n">
        <v>1.815</v>
      </c>
      <c r="J17" s="44" t="n">
        <v>17.34</v>
      </c>
      <c r="K17" s="39" t="n">
        <v>10.708</v>
      </c>
      <c r="L17" s="40" t="n">
        <v>1.619350018677624</v>
      </c>
      <c r="M17" s="45" t="inlineStr">
        <is>
          <t>Auto: FX</t>
        </is>
      </c>
      <c r="N17" s="46" t="inlineStr">
        <is>
          <t>Backfill</t>
        </is>
      </c>
    </row>
    <row r="18" ht="21.75" customHeight="1" s="51">
      <c r="A18" s="36" t="n">
        <v>46080.30496681713</v>
      </c>
      <c r="B18" s="37" t="inlineStr">
        <is>
          <t>Fri</t>
        </is>
      </c>
      <c r="C18" s="38" t="n">
        <v>4777</v>
      </c>
      <c r="D18" s="39" t="n">
        <v>4.2243</v>
      </c>
      <c r="E18" s="40" t="n">
        <v>1.130838245389769</v>
      </c>
      <c r="F18" s="41" t="n">
        <v>1.506</v>
      </c>
      <c r="G18" s="111">
        <f>E15-F15</f>
        <v/>
      </c>
      <c r="H18" s="112" t="n">
        <v>-0.2491113908434471</v>
      </c>
      <c r="I18" s="41" t="n">
        <v>1.748</v>
      </c>
      <c r="J18" s="44" t="n">
        <v>17.19</v>
      </c>
      <c r="K18" s="39" t="n">
        <v>10.6643</v>
      </c>
      <c r="L18" s="40" t="n">
        <v>1.611920144782124</v>
      </c>
      <c r="M18" s="45" t="inlineStr">
        <is>
          <t>Auto: FX</t>
        </is>
      </c>
      <c r="N18" s="46" t="inlineStr">
        <is>
          <t>Backfill</t>
        </is>
      </c>
    </row>
    <row r="19" ht="21.75" customHeight="1" s="51">
      <c r="A19" s="36" t="n">
        <v>46079.30496681713</v>
      </c>
      <c r="B19" s="37" t="inlineStr">
        <is>
          <t>Thu</t>
        </is>
      </c>
      <c r="C19" s="38" t="n">
        <v>4744</v>
      </c>
      <c r="D19" s="39" t="n">
        <v>4.2225</v>
      </c>
      <c r="E19" s="40" t="n">
        <v>1.123505032563647</v>
      </c>
      <c r="F19" s="41" t="n">
        <v>1.492</v>
      </c>
      <c r="G19" s="111">
        <f>E16-F16</f>
        <v/>
      </c>
      <c r="H19" s="112" t="n">
        <v>-0.2469805411771802</v>
      </c>
      <c r="I19" s="41" t="n">
        <v>1.726</v>
      </c>
      <c r="J19" s="44" t="n">
        <v>17.34</v>
      </c>
      <c r="K19" s="39" t="n">
        <v>10.673</v>
      </c>
      <c r="L19" s="40" t="n">
        <v>1.624660357912489</v>
      </c>
      <c r="M19" s="45" t="inlineStr">
        <is>
          <t>Auto: FX</t>
        </is>
      </c>
      <c r="N19" s="46" t="inlineStr">
        <is>
          <t>Backfill</t>
        </is>
      </c>
    </row>
    <row r="20" ht="21.75" customHeight="1" s="51">
      <c r="A20" s="36" t="n">
        <v>46078.30496681713</v>
      </c>
      <c r="B20" s="37" t="inlineStr">
        <is>
          <t>Wed</t>
        </is>
      </c>
      <c r="C20" s="38" t="n">
        <v>4765</v>
      </c>
      <c r="D20" s="39" t="n">
        <v>4.2233</v>
      </c>
      <c r="E20" s="40" t="n">
        <v>1.128264627187271</v>
      </c>
      <c r="F20" s="41" t="n">
        <v>1.495</v>
      </c>
      <c r="G20" s="111">
        <f>E17-F17</f>
        <v/>
      </c>
      <c r="H20" s="112" t="n">
        <v>-0.2453079416807554</v>
      </c>
      <c r="I20" s="41" t="n">
        <v>1.74</v>
      </c>
      <c r="J20" s="44" t="n">
        <v>17.34</v>
      </c>
      <c r="K20" s="39" t="n">
        <v>10.6765</v>
      </c>
      <c r="L20" s="40" t="n">
        <v>1.624127757223809</v>
      </c>
      <c r="M20" s="45" t="inlineStr">
        <is>
          <t>Auto: FX</t>
        </is>
      </c>
      <c r="N20" s="46" t="inlineStr">
        <is>
          <t>Backfill</t>
        </is>
      </c>
    </row>
    <row r="21" ht="21.75" customHeight="1" s="51">
      <c r="A21" s="36" t="n">
        <v>46077.30496681713</v>
      </c>
      <c r="B21" s="37" t="inlineStr">
        <is>
          <t>Tue</t>
        </is>
      </c>
      <c r="C21" s="38" t="n">
        <v>4769</v>
      </c>
      <c r="D21" s="39" t="n">
        <v>4.2203</v>
      </c>
      <c r="E21" s="40" t="n">
        <v>1.130014453948772</v>
      </c>
      <c r="F21" s="41" t="n">
        <v>1.505</v>
      </c>
      <c r="G21" s="111">
        <f>E18-F18</f>
        <v/>
      </c>
      <c r="H21" s="112" t="n">
        <v>-0.2491598312632747</v>
      </c>
      <c r="I21" s="41" t="n">
        <v>1.745</v>
      </c>
      <c r="J21" s="44" t="n">
        <v>17.24</v>
      </c>
      <c r="K21" s="39" t="n">
        <v>10.688</v>
      </c>
      <c r="L21" s="40" t="n">
        <v>1.613023952095808</v>
      </c>
      <c r="M21" s="45" t="inlineStr">
        <is>
          <t>Auto: FX</t>
        </is>
      </c>
      <c r="N21" s="46" t="inlineStr">
        <is>
          <t>Backfill</t>
        </is>
      </c>
    </row>
    <row r="22" ht="21.75" customHeight="1" s="51">
      <c r="A22" s="36" t="n">
        <v>46076.30496681713</v>
      </c>
      <c r="B22" s="37" t="inlineStr">
        <is>
          <t>Mon</t>
        </is>
      </c>
      <c r="C22" s="38" t="n"/>
      <c r="D22" s="39" t="n">
        <v>4.2173</v>
      </c>
      <c r="E22" s="40" t="n"/>
      <c r="F22" s="41" t="n">
        <v>1.492</v>
      </c>
      <c r="G22" s="111" t="n"/>
      <c r="H22" s="112" t="n"/>
      <c r="I22" s="41" t="n">
        <v>1.742</v>
      </c>
      <c r="J22" s="44" t="n">
        <v>17.24</v>
      </c>
      <c r="K22" s="39" t="n">
        <v>10.6955</v>
      </c>
      <c r="L22" s="40" t="n">
        <v>1.611892852134075</v>
      </c>
      <c r="M22" s="45" t="inlineStr">
        <is>
          <t>Auto: FX</t>
        </is>
      </c>
      <c r="N22" s="46" t="inlineStr">
        <is>
          <t>Backfill</t>
        </is>
      </c>
    </row>
    <row r="23" ht="21.75" customHeight="1" s="51">
      <c r="A23" s="36" t="n">
        <v>46073.30496681713</v>
      </c>
      <c r="B23" s="37" t="inlineStr">
        <is>
          <t>Fri</t>
        </is>
      </c>
      <c r="C23" s="38" t="n">
        <v>4743</v>
      </c>
      <c r="D23" s="39" t="n">
        <v>4.2238</v>
      </c>
      <c r="E23" s="40" t="n">
        <v>1.122922486860173</v>
      </c>
      <c r="F23" s="41" t="n">
        <v>1.487</v>
      </c>
      <c r="G23" s="111">
        <f>E20-F20</f>
        <v/>
      </c>
      <c r="H23" s="112" t="n">
        <v>-0.2448402912843488</v>
      </c>
      <c r="I23" s="41" t="n">
        <v>1.727</v>
      </c>
      <c r="J23" s="44" t="n">
        <v>16.89</v>
      </c>
      <c r="K23" s="39" t="n">
        <v>10.6745</v>
      </c>
      <c r="L23" s="40" t="n">
        <v>1.582275516417631</v>
      </c>
      <c r="M23" s="45" t="inlineStr">
        <is>
          <t>Auto: FX</t>
        </is>
      </c>
      <c r="N23" s="46" t="inlineStr">
        <is>
          <t>Backfill</t>
        </is>
      </c>
    </row>
    <row r="24" ht="21.75" customHeight="1" s="51">
      <c r="A24" s="36" t="n">
        <v>46072.30496681713</v>
      </c>
      <c r="B24" s="37" t="inlineStr">
        <is>
          <t>Thu</t>
        </is>
      </c>
      <c r="C24" s="38" t="n">
        <v>4597</v>
      </c>
      <c r="D24" s="39" t="n">
        <v>4.2215</v>
      </c>
      <c r="E24" s="40" t="n">
        <v>1.088949425559635</v>
      </c>
      <c r="F24" s="41" t="n">
        <v>1.46</v>
      </c>
      <c r="G24" s="111">
        <f>E21-F21</f>
        <v/>
      </c>
      <c r="H24" s="112" t="n">
        <v>-0.254144229068743</v>
      </c>
      <c r="I24" s="41" t="n">
        <v>1.713</v>
      </c>
      <c r="J24" s="44" t="n">
        <v>16.64</v>
      </c>
      <c r="K24" s="39" t="n">
        <v>10.6915</v>
      </c>
      <c r="L24" s="40" t="n">
        <v>1.556376560819343</v>
      </c>
      <c r="M24" s="45" t="inlineStr">
        <is>
          <t>Auto: FX</t>
        </is>
      </c>
      <c r="N24" s="46" t="inlineStr">
        <is>
          <t>Backfill</t>
        </is>
      </c>
    </row>
    <row r="25" ht="21.75" customHeight="1" s="51">
      <c r="A25" s="36" t="n">
        <v>46071.30496681713</v>
      </c>
      <c r="B25" s="37" t="inlineStr">
        <is>
          <t>Wed</t>
        </is>
      </c>
      <c r="C25" s="38" t="n">
        <v>4569</v>
      </c>
      <c r="D25" s="39" t="n">
        <v>4.2165</v>
      </c>
      <c r="E25" s="40" t="n">
        <v>1.083600142298115</v>
      </c>
      <c r="F25" s="41" t="n">
        <v>1.443</v>
      </c>
      <c r="G25" s="111">
        <f>E22-F22</f>
        <v/>
      </c>
      <c r="H25" s="112" t="n">
        <v>-0.249064350451757</v>
      </c>
      <c r="I25" s="41" t="n">
        <v>1.697</v>
      </c>
      <c r="J25" s="44" t="n">
        <v>16.64</v>
      </c>
      <c r="K25" s="39" t="n">
        <v>10.616</v>
      </c>
      <c r="L25" s="40" t="n">
        <v>1.567445365486059</v>
      </c>
      <c r="M25" s="45" t="inlineStr">
        <is>
          <t>Auto: FX</t>
        </is>
      </c>
      <c r="N25" s="46" t="inlineStr">
        <is>
          <t>Backfill</t>
        </is>
      </c>
    </row>
    <row r="26" ht="21.75" customHeight="1" s="51">
      <c r="A26" s="36" t="n">
        <v>46070.30496681713</v>
      </c>
      <c r="B26" s="37" t="inlineStr">
        <is>
          <t>Tue</t>
        </is>
      </c>
      <c r="C26" s="38" t="n">
        <v>4577</v>
      </c>
      <c r="D26" s="39" t="n">
        <v>4.2138</v>
      </c>
      <c r="E26" s="40" t="n">
        <v>1.086192984954198</v>
      </c>
      <c r="F26" s="41" t="n">
        <v>1.448</v>
      </c>
      <c r="G26" s="111">
        <f>E23-F23</f>
        <v/>
      </c>
      <c r="H26" s="112" t="n">
        <v>-0.2498667230979294</v>
      </c>
      <c r="I26" s="41" t="n">
        <v>1.715</v>
      </c>
      <c r="J26" s="44" t="n">
        <v>16.64</v>
      </c>
      <c r="K26" s="39" t="n">
        <v>10.648</v>
      </c>
      <c r="L26" s="40" t="n">
        <v>1.562734785875282</v>
      </c>
      <c r="M26" s="45" t="inlineStr">
        <is>
          <t>Auto: FX</t>
        </is>
      </c>
      <c r="N26" s="46" t="inlineStr">
        <is>
          <t>Backfill</t>
        </is>
      </c>
    </row>
    <row r="27" ht="21.75" customHeight="1" s="51">
      <c r="A27" s="36" t="n">
        <v>46069.30496681713</v>
      </c>
      <c r="B27" s="37" t="inlineStr">
        <is>
          <t>Mon</t>
        </is>
      </c>
      <c r="C27" s="38" t="n"/>
      <c r="D27" s="39" t="n">
        <v>4.2105</v>
      </c>
      <c r="E27" s="40" t="n"/>
      <c r="F27" s="41" t="n">
        <v>1.448</v>
      </c>
      <c r="G27" s="111" t="n"/>
      <c r="H27" s="112" t="n"/>
      <c r="I27" s="41" t="n">
        <v>1.724</v>
      </c>
      <c r="J27" s="44" t="n">
        <v>16.64</v>
      </c>
      <c r="K27" s="39" t="n">
        <v>10.6205</v>
      </c>
      <c r="L27" s="40" t="n">
        <v>1.566781224989407</v>
      </c>
      <c r="M27" s="45" t="inlineStr">
        <is>
          <t>Auto: FX</t>
        </is>
      </c>
      <c r="N27" s="46" t="inlineStr">
        <is>
          <t>Backfill</t>
        </is>
      </c>
    </row>
    <row r="28" ht="21.75" customHeight="1" s="51">
      <c r="A28" s="36" t="n">
        <v>46066.30496681713</v>
      </c>
      <c r="B28" s="37" t="inlineStr">
        <is>
          <t>Fri</t>
        </is>
      </c>
      <c r="C28" s="38" t="n">
        <v>4593</v>
      </c>
      <c r="D28" s="39" t="n">
        <v>4.215</v>
      </c>
      <c r="E28" s="40" t="n">
        <v>1.089679715302491</v>
      </c>
      <c r="F28" s="41" t="n">
        <v>1.443</v>
      </c>
      <c r="G28" s="111">
        <f>E25-F25</f>
        <v/>
      </c>
      <c r="H28" s="112" t="n">
        <v>-0.2448512021465759</v>
      </c>
      <c r="I28" s="41" t="n">
        <v>1.72</v>
      </c>
      <c r="J28" s="44" t="n">
        <v>16.64</v>
      </c>
      <c r="K28" s="39" t="n">
        <v>10.6254</v>
      </c>
      <c r="L28" s="40" t="n">
        <v>1.566058689555217</v>
      </c>
      <c r="M28" s="45" t="inlineStr">
        <is>
          <t>Auto: FX</t>
        </is>
      </c>
      <c r="N28" s="46" t="inlineStr">
        <is>
          <t>Backfill</t>
        </is>
      </c>
    </row>
    <row r="29" ht="21.75" customHeight="1" s="51">
      <c r="A29" s="36" t="n">
        <v>46065.30496681713</v>
      </c>
      <c r="B29" s="37" t="inlineStr">
        <is>
          <t>Thu</t>
        </is>
      </c>
      <c r="C29" s="38" t="n">
        <v>4613</v>
      </c>
      <c r="D29" s="39" t="n">
        <v>4.2158</v>
      </c>
      <c r="E29" s="40" t="n">
        <v>1.094216993215997</v>
      </c>
      <c r="F29" s="41" t="n">
        <v>1.455</v>
      </c>
      <c r="G29" s="111">
        <f>E26-F26</f>
        <v/>
      </c>
      <c r="H29" s="112" t="n">
        <v>-0.247960829404813</v>
      </c>
      <c r="I29" s="41" t="n"/>
      <c r="J29" s="44" t="n">
        <v>16.64</v>
      </c>
      <c r="K29" s="39" t="n">
        <v>10.567</v>
      </c>
      <c r="L29" s="40" t="n">
        <v>1.574713731428031</v>
      </c>
      <c r="M29" s="45" t="inlineStr">
        <is>
          <t>Auto: FX</t>
        </is>
      </c>
      <c r="N29" s="46" t="inlineStr">
        <is>
          <t>Backfill</t>
        </is>
      </c>
    </row>
    <row r="30" ht="21.75" customHeight="1" s="51">
      <c r="A30" s="36" t="n">
        <v>46064.30496681713</v>
      </c>
      <c r="B30" s="37" t="inlineStr">
        <is>
          <t>Wed</t>
        </is>
      </c>
      <c r="C30" s="38" t="n">
        <v>4609</v>
      </c>
      <c r="D30" s="39" t="n">
        <v>4.2135</v>
      </c>
      <c r="E30" s="40" t="n">
        <v>1.093864957873502</v>
      </c>
      <c r="F30" s="41" t="n">
        <v>1.453</v>
      </c>
      <c r="G30" s="111">
        <f>E27-F27</f>
        <v/>
      </c>
      <c r="H30" s="112" t="n">
        <v>-0.2471679574167228</v>
      </c>
      <c r="I30" s="41" t="n"/>
      <c r="J30" s="44" t="n">
        <v>16.79</v>
      </c>
      <c r="K30" s="39" t="n">
        <v>10.564</v>
      </c>
      <c r="L30" s="40" t="n">
        <v>1.589360090874669</v>
      </c>
      <c r="M30" s="45" t="inlineStr">
        <is>
          <t>Auto: FX</t>
        </is>
      </c>
      <c r="N30" s="46" t="inlineStr">
        <is>
          <t>Backfill</t>
        </is>
      </c>
    </row>
    <row r="31" ht="21.75" customHeight="1" s="51">
      <c r="A31" s="36" t="n">
        <v>46063.30496681713</v>
      </c>
      <c r="B31" s="37" t="inlineStr">
        <is>
          <t>Tue</t>
        </is>
      </c>
      <c r="C31" s="38" t="n">
        <v>4620</v>
      </c>
      <c r="D31" s="39" t="n">
        <v>4.217</v>
      </c>
      <c r="E31" s="40" t="n">
        <v>1.095565567939293</v>
      </c>
      <c r="F31" s="41" t="n">
        <v>1.456</v>
      </c>
      <c r="G31" s="111">
        <f>E28-F28</f>
        <v/>
      </c>
      <c r="H31" s="112" t="n">
        <v>-0.2475511209208149</v>
      </c>
      <c r="I31" s="41" t="n"/>
      <c r="J31" s="44" t="n">
        <v>16.94</v>
      </c>
      <c r="K31" s="39" t="n">
        <v>10.6135</v>
      </c>
      <c r="L31" s="40" t="n">
        <v>1.59608046356056</v>
      </c>
      <c r="M31" s="45" t="inlineStr">
        <is>
          <t>Auto: FX</t>
        </is>
      </c>
      <c r="N31" s="46" t="inlineStr">
        <is>
          <t>Backfill</t>
        </is>
      </c>
    </row>
    <row r="32" ht="21.75" customHeight="1" s="51">
      <c r="A32" s="36" t="n">
        <v>46062.30496681713</v>
      </c>
      <c r="B32" s="37" t="inlineStr">
        <is>
          <t>Mon</t>
        </is>
      </c>
      <c r="C32" s="38" t="n"/>
      <c r="D32" s="39" t="n">
        <v>4.2118</v>
      </c>
      <c r="E32" s="40" t="n"/>
      <c r="F32" s="41" t="n">
        <v>1.462</v>
      </c>
      <c r="G32" s="111" t="n"/>
      <c r="H32" s="112" t="n"/>
      <c r="I32" s="41" t="n"/>
      <c r="J32" s="44" t="n">
        <v>16.79</v>
      </c>
      <c r="K32" s="39" t="n">
        <v>10.6505</v>
      </c>
      <c r="L32" s="40" t="n">
        <v>1.576451809774189</v>
      </c>
      <c r="M32" s="45" t="inlineStr">
        <is>
          <t>Auto: FX</t>
        </is>
      </c>
      <c r="N32" s="46" t="inlineStr">
        <is>
          <t>Backfill</t>
        </is>
      </c>
    </row>
    <row r="33" ht="21.75" customHeight="1" s="51">
      <c r="A33" s="36" t="n">
        <v>46059.30496681713</v>
      </c>
      <c r="B33" s="37" t="inlineStr">
        <is>
          <t>Fri</t>
        </is>
      </c>
      <c r="C33" s="38" t="n">
        <v>4608</v>
      </c>
      <c r="D33" s="39" t="n">
        <v>4.2185</v>
      </c>
      <c r="E33" s="40" t="n">
        <v>1.092331397416143</v>
      </c>
      <c r="F33" s="41" t="n"/>
      <c r="G33" s="111" t="n"/>
      <c r="H33" s="112" t="n"/>
      <c r="I33" s="41" t="n"/>
      <c r="J33" s="44" t="n">
        <v>16.69</v>
      </c>
      <c r="K33" s="39" t="n">
        <v>10.6735</v>
      </c>
      <c r="L33" s="40" t="n">
        <v>1.563685763807561</v>
      </c>
      <c r="M33" s="45" t="inlineStr">
        <is>
          <t>Auto: FX</t>
        </is>
      </c>
      <c r="N33" s="46" t="inlineStr">
        <is>
          <t>Backfill</t>
        </is>
      </c>
    </row>
    <row r="34" ht="21.75" customHeight="1" s="51">
      <c r="A34" s="36" t="n">
        <v>46058.30496681713</v>
      </c>
      <c r="B34" s="37" t="inlineStr">
        <is>
          <t>Thu</t>
        </is>
      </c>
      <c r="C34" s="38" t="n">
        <v>4606</v>
      </c>
      <c r="D34" s="39" t="n">
        <v>4.2205</v>
      </c>
      <c r="E34" s="40" t="n">
        <v>1.091339888638787</v>
      </c>
      <c r="F34" s="41" t="n"/>
      <c r="G34" s="111" t="n"/>
      <c r="H34" s="112" t="n"/>
      <c r="I34" s="41" t="n"/>
      <c r="J34" s="44" t="n">
        <v>16.69</v>
      </c>
      <c r="K34" s="39" t="n">
        <v>10.641</v>
      </c>
      <c r="L34" s="40" t="n">
        <v>1.568461610750869</v>
      </c>
      <c r="M34" s="45" t="inlineStr">
        <is>
          <t>Auto: FX</t>
        </is>
      </c>
      <c r="N34" s="46" t="inlineStr">
        <is>
          <t>Backfill</t>
        </is>
      </c>
    </row>
    <row r="35" ht="21.75" customHeight="1" s="51">
      <c r="A35" s="36" t="n">
        <v>46057.30496681713</v>
      </c>
      <c r="B35" s="37" t="inlineStr">
        <is>
          <t>Wed</t>
        </is>
      </c>
      <c r="C35" s="38" t="n">
        <v>4631</v>
      </c>
      <c r="D35" s="39" t="n">
        <v>4.2235</v>
      </c>
      <c r="E35" s="40" t="n">
        <v>1.096483958801941</v>
      </c>
      <c r="F35" s="41" t="n"/>
      <c r="G35" s="111" t="n"/>
      <c r="H35" s="112" t="n"/>
      <c r="I35" s="41" t="n"/>
      <c r="J35" s="44" t="n">
        <v>16.69</v>
      </c>
      <c r="K35" s="39" t="n">
        <v>10.577</v>
      </c>
      <c r="L35" s="40" t="n">
        <v>1.577952160347925</v>
      </c>
      <c r="M35" s="45" t="inlineStr">
        <is>
          <t>Auto: FX</t>
        </is>
      </c>
      <c r="N35" s="46" t="inlineStr">
        <is>
          <t>Backfill</t>
        </is>
      </c>
    </row>
    <row r="36" ht="21.75" customHeight="1" s="51">
      <c r="A36" s="36" t="n">
        <v>46056.30496681713</v>
      </c>
      <c r="B36" s="37" t="inlineStr">
        <is>
          <t>Tue</t>
        </is>
      </c>
      <c r="C36" s="38" t="n">
        <v>4622</v>
      </c>
      <c r="D36" s="39" t="n">
        <v>4.2205</v>
      </c>
      <c r="E36" s="40" t="n">
        <v>1.095130908660111</v>
      </c>
      <c r="F36" s="41" t="n"/>
      <c r="G36" s="111" t="n"/>
      <c r="H36" s="112" t="n"/>
      <c r="I36" s="41" t="n"/>
      <c r="J36" s="44" t="n">
        <v>16.99</v>
      </c>
      <c r="K36" s="39" t="n">
        <v>10.5485</v>
      </c>
      <c r="L36" s="40" t="n">
        <v>1.610655543442195</v>
      </c>
      <c r="M36" s="45" t="inlineStr">
        <is>
          <t>Auto: FX</t>
        </is>
      </c>
      <c r="N36" s="46" t="inlineStr">
        <is>
          <t>Backfill</t>
        </is>
      </c>
    </row>
    <row r="37" ht="21.75" customHeight="1" s="51">
      <c r="A37" s="36" t="n">
        <v>46055.30496681713</v>
      </c>
      <c r="B37" s="37" t="inlineStr">
        <is>
          <t>Mon</t>
        </is>
      </c>
      <c r="C37" s="38" t="n"/>
      <c r="D37" s="39" t="n">
        <v>4.2173</v>
      </c>
      <c r="E37" s="40" t="n"/>
      <c r="F37" s="41" t="n"/>
      <c r="G37" s="111" t="n"/>
      <c r="H37" s="112" t="n"/>
      <c r="I37" s="41" t="n"/>
      <c r="J37" s="44" t="n">
        <v>16.79</v>
      </c>
      <c r="K37" s="39" t="n">
        <v>10.5935</v>
      </c>
      <c r="L37" s="40" t="n">
        <v>1.584934157738236</v>
      </c>
      <c r="M37" s="45" t="inlineStr">
        <is>
          <t>Auto: FX</t>
        </is>
      </c>
      <c r="N37" s="46" t="inlineStr">
        <is>
          <t>Backfill</t>
        </is>
      </c>
    </row>
    <row r="38" ht="21.75" customHeight="1" s="51"/>
    <row r="39" ht="21.75" customHeight="1" s="51"/>
    <row r="40" ht="21.75" customHeight="1" s="51"/>
    <row r="41" ht="21.75" customHeight="1" s="51"/>
    <row r="42" ht="21.75" customHeight="1" s="51"/>
    <row r="43" ht="21.75" customHeight="1" s="51"/>
    <row r="44" ht="21.75" customHeight="1" s="51"/>
    <row r="45" ht="21.75" customHeight="1" s="51"/>
    <row r="46" ht="21.75" customHeight="1" s="51"/>
    <row r="47" ht="21.75" customHeight="1" s="51"/>
    <row r="48" ht="21.75" customHeight="1" s="51"/>
    <row r="49" ht="21.75" customHeight="1" s="51"/>
    <row r="50" ht="21.75" customHeight="1" s="51"/>
    <row r="51" ht="21.75" customHeight="1" s="51"/>
    <row r="52" ht="21.75" customHeight="1" s="51"/>
    <row r="53" ht="21.75" customHeight="1" s="51"/>
    <row r="54" ht="21.75" customHeight="1" s="51"/>
    <row r="55" ht="21.75" customHeight="1" s="51"/>
    <row r="56" ht="21.75" customHeight="1" s="51"/>
    <row r="57" ht="21.75" customHeight="1" s="51"/>
    <row r="58" ht="21.75" customHeight="1" s="51"/>
    <row r="59" ht="21.75" customHeight="1" s="51"/>
    <row r="60" ht="21.75" customHeight="1" s="51"/>
    <row r="61" ht="21.75" customHeight="1" s="51"/>
    <row r="62" ht="21.75" customHeight="1" s="51"/>
    <row r="63" ht="21.75" customHeight="1" s="51"/>
    <row r="64" ht="21.75" customHeight="1" s="51"/>
    <row r="65" ht="15" customHeight="1" s="51"/>
    <row r="66" ht="15" customHeight="1" s="51"/>
    <row r="67" ht="15" customHeight="1" s="51"/>
    <row r="68" ht="15" customHeight="1" s="51"/>
    <row r="69" ht="15" customHeight="1" s="51"/>
  </sheetData>
  <mergeCells count="7">
    <mergeCell ref="A3:B3"/>
    <mergeCell ref="A2:N2"/>
    <mergeCell ref="C3:E3"/>
    <mergeCell ref="M3:N3"/>
    <mergeCell ref="J3:L3"/>
    <mergeCell ref="G3:H3"/>
    <mergeCell ref="A1:N1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59E0B"/>
    <outlinePr summaryBelow="1" summaryRight="1"/>
    <pageSetUpPr/>
  </sheetPr>
  <dimension ref="A1:K1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3" sqref="I13"/>
    </sheetView>
  </sheetViews>
  <sheetFormatPr baseColWidth="8" defaultColWidth="8.6640625" defaultRowHeight="14.4"/>
  <cols>
    <col width="14" customWidth="1" style="51" min="1" max="1"/>
    <col width="11" customWidth="1" style="51" min="2" max="9"/>
    <col width="20" customWidth="1" style="51" min="10" max="10"/>
  </cols>
  <sheetData>
    <row r="1" ht="36" customHeight="1" s="51">
      <c r="A1" s="98" t="inlineStr">
        <is>
          <t>📊  EU Weekly Oil Bulletin — Diesel Prices with Taxes</t>
        </is>
      </c>
      <c r="K1" s="1" t="n"/>
    </row>
    <row r="2" ht="18" customHeight="1" s="51">
      <c r="A2" s="80" t="inlineStr">
        <is>
          <t>Source: energy.ec.europa.eu   ·   Updated weekly (Monday)   ·   🔵 Blue cells = input   ·   Row 4 = most recent</t>
        </is>
      </c>
      <c r="K2" s="1" t="n"/>
    </row>
    <row r="3" ht="30" customHeight="1" s="51">
      <c r="A3" s="18" t="inlineStr">
        <is>
          <t>Week Start</t>
        </is>
      </c>
      <c r="B3" s="18" t="inlineStr">
        <is>
          <t>🇱🇹 LT</t>
        </is>
      </c>
      <c r="C3" s="18" t="inlineStr">
        <is>
          <t>🇱🇻 LV</t>
        </is>
      </c>
      <c r="D3" s="18" t="inlineStr">
        <is>
          <t>🇪🇪 EE</t>
        </is>
      </c>
      <c r="E3" s="18" t="inlineStr">
        <is>
          <t>🇩🇰 DK</t>
        </is>
      </c>
      <c r="F3" s="18" t="inlineStr">
        <is>
          <t>🇸🇪 SE</t>
        </is>
      </c>
      <c r="G3" s="18" t="inlineStr">
        <is>
          <t>🇫🇮 FI</t>
        </is>
      </c>
      <c r="H3" s="18" t="inlineStr">
        <is>
          <t>🇪🇺 EU Avg</t>
        </is>
      </c>
      <c r="I3" s="18" t="inlineStr">
        <is>
          <t>LT vs EU Δ</t>
        </is>
      </c>
      <c r="J3" s="18" t="inlineStr">
        <is>
          <t>Notes</t>
        </is>
      </c>
      <c r="K3" s="1" t="n"/>
    </row>
    <row r="4" ht="21.75" customHeight="1" s="51">
      <c r="A4" s="113" t="n">
        <v>46097.57810183834</v>
      </c>
      <c r="B4" s="114" t="n">
        <v>1.901</v>
      </c>
      <c r="C4" s="114" t="n">
        <v>1.793</v>
      </c>
      <c r="D4" s="114" t="n">
        <v>1.688</v>
      </c>
      <c r="E4" s="114" t="n">
        <v>2.115</v>
      </c>
      <c r="F4" s="114" t="n">
        <v>1.783</v>
      </c>
      <c r="G4" s="114" t="n">
        <v>2.042</v>
      </c>
      <c r="H4" s="114" t="n">
        <v>1.748</v>
      </c>
      <c r="I4" s="115" t="n">
        <v>0.08749999999999999</v>
      </c>
    </row>
    <row r="5" ht="21.75" customHeight="1" s="51">
      <c r="A5" s="113" t="n">
        <v>46090.3788481713</v>
      </c>
      <c r="B5" s="114" t="n">
        <v>1.901</v>
      </c>
      <c r="C5" s="114" t="n">
        <v>1.793</v>
      </c>
      <c r="D5" s="114" t="n">
        <v>1.688</v>
      </c>
      <c r="E5" s="114" t="n">
        <v>2.115</v>
      </c>
      <c r="F5" s="114" t="n">
        <v>1.783</v>
      </c>
      <c r="G5" s="114" t="n">
        <v>2.042</v>
      </c>
      <c r="H5" s="114" t="n">
        <v>1.748</v>
      </c>
      <c r="I5" s="115" t="n">
        <v>0.08749999999999999</v>
      </c>
    </row>
    <row r="6" ht="21.75" customHeight="1" s="51">
      <c r="A6" s="47" t="n">
        <v>46083</v>
      </c>
      <c r="B6" s="48" t="n">
        <v>1.641</v>
      </c>
      <c r="C6" s="48" t="n">
        <v>1.548</v>
      </c>
      <c r="D6" s="48" t="n">
        <v>1.428</v>
      </c>
      <c r="E6" s="48" t="n">
        <v>1.794</v>
      </c>
      <c r="F6" s="48" t="n">
        <v>1.579</v>
      </c>
      <c r="G6" s="48" t="n">
        <v>1.951</v>
      </c>
      <c r="H6" s="48" t="n">
        <v>1.572</v>
      </c>
      <c r="I6" s="116" t="n">
        <v>0.044</v>
      </c>
    </row>
    <row r="7" ht="21.75" customHeight="1" s="51">
      <c r="A7" s="47" t="n">
        <v>46076</v>
      </c>
      <c r="B7" s="48" t="n">
        <v>1.637</v>
      </c>
      <c r="C7" s="48" t="n">
        <v>1.544</v>
      </c>
      <c r="D7" s="48" t="n">
        <v>1.423</v>
      </c>
      <c r="E7" s="48" t="n">
        <v>1.79</v>
      </c>
      <c r="F7" s="48" t="n">
        <v>1.575</v>
      </c>
      <c r="G7" s="48" t="n">
        <v>1.945</v>
      </c>
      <c r="H7" s="48" t="n">
        <v>1.568</v>
      </c>
      <c r="I7" s="116" t="n">
        <v>0.044</v>
      </c>
    </row>
    <row r="8" ht="21.75" customHeight="1" s="51">
      <c r="A8" s="47" t="n">
        <v>46069</v>
      </c>
      <c r="B8" s="48" t="n">
        <v>1.632</v>
      </c>
      <c r="C8" s="48" t="n">
        <v>1.538</v>
      </c>
      <c r="D8" s="48" t="n">
        <v>1.417</v>
      </c>
      <c r="E8" s="48" t="n">
        <v>1.786</v>
      </c>
      <c r="F8" s="48" t="n">
        <v>1.571</v>
      </c>
      <c r="G8" s="48" t="n">
        <v>1.939</v>
      </c>
      <c r="H8" s="48" t="n">
        <v>1.564</v>
      </c>
      <c r="I8" s="116" t="n">
        <v>0.043</v>
      </c>
    </row>
    <row r="9" ht="21.75" customHeight="1" s="51">
      <c r="A9" s="47" t="n">
        <v>46062</v>
      </c>
      <c r="B9" s="48" t="n">
        <v>1.625</v>
      </c>
      <c r="C9" s="48" t="n">
        <v>1.532</v>
      </c>
      <c r="D9" s="48" t="n">
        <v>1.41</v>
      </c>
      <c r="E9" s="48" t="n">
        <v>1.78</v>
      </c>
      <c r="F9" s="48" t="n">
        <v>1.568</v>
      </c>
      <c r="G9" s="48" t="n">
        <v>1.932</v>
      </c>
      <c r="H9" s="48" t="n">
        <v>1.558</v>
      </c>
      <c r="I9" s="116" t="n">
        <v>0.043</v>
      </c>
    </row>
    <row r="10" ht="21.75" customHeight="1" s="51">
      <c r="A10" s="47" t="n">
        <v>46055</v>
      </c>
      <c r="B10" s="48" t="n">
        <v>1.618</v>
      </c>
      <c r="C10" s="48" t="n">
        <v>1.525</v>
      </c>
      <c r="D10" s="48" t="n">
        <v>1.402</v>
      </c>
      <c r="E10" s="48" t="n">
        <v>1.772</v>
      </c>
      <c r="F10" s="48" t="n">
        <v>1.562</v>
      </c>
      <c r="G10" s="48" t="n">
        <v>1.925</v>
      </c>
      <c r="H10" s="48" t="n">
        <v>1.553</v>
      </c>
      <c r="I10" s="116" t="n">
        <v>0.042</v>
      </c>
    </row>
    <row r="11" ht="21.75" customHeight="1" s="51"/>
    <row r="12" ht="21.75" customHeight="1" s="51"/>
    <row r="13" ht="21.75" customHeight="1" s="51"/>
    <row r="14" ht="21.75" customHeight="1" s="51"/>
    <row r="15" ht="21.75" customHeight="1" s="51"/>
    <row r="16" ht="21.75" customHeight="1" s="51"/>
    <row r="17" ht="21.75" customHeight="1" s="51"/>
    <row r="18" ht="21.75" customHeight="1" s="51"/>
    <row r="19" ht="21.75" customHeight="1" s="51"/>
    <row r="20" ht="21.75" customHeight="1" s="51"/>
    <row r="21" ht="21.75" customHeight="1" s="51"/>
    <row r="22" ht="21.75" customHeight="1" s="51"/>
    <row r="23" ht="21.75" customHeight="1" s="51"/>
    <row r="24" ht="21.75" customHeight="1" s="51"/>
    <row r="25" ht="21.75" customHeight="1" s="51"/>
    <row r="26" ht="21.75" customHeight="1" s="51"/>
    <row r="27" ht="21.75" customHeight="1" s="51"/>
    <row r="28" ht="21.75" customHeight="1" s="51"/>
    <row r="29" ht="21.75" customHeight="1" s="51"/>
    <row r="30" ht="21.75" customHeight="1" s="51"/>
    <row r="31" ht="21.75" customHeight="1" s="51"/>
    <row r="32" ht="21.75" customHeight="1" s="51"/>
    <row r="33" ht="21.75" customHeight="1" s="51"/>
    <row r="34" ht="15" customHeight="1" s="51"/>
    <row r="35" ht="15" customHeight="1" s="51"/>
    <row r="36" ht="15" customHeight="1" s="51"/>
    <row r="37" ht="15" customHeight="1" s="51"/>
    <row r="38" ht="15" customHeight="1" s="51"/>
    <row r="39" ht="15" customHeight="1" s="51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priority="2" operator="lessThan" dxfId="1">
      <formula>0</formula>
    </cfRule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2C55E"/>
    <outlinePr summaryBelow="1" summaryRight="1"/>
    <pageSetUpPr/>
  </sheetPr>
  <dimension ref="A1:E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4" customWidth="1" style="51" min="1" max="1"/>
    <col width="55" customWidth="1" style="51" min="2" max="2"/>
    <col width="14" customWidth="1" style="51" min="3" max="3"/>
    <col width="65" customWidth="1" style="51" min="4" max="4"/>
  </cols>
  <sheetData>
    <row r="1" ht="36" customHeight="1" s="51">
      <c r="A1" s="98" t="inlineStr">
        <is>
          <t>📋  Data Sources &amp; Instructions</t>
        </is>
      </c>
      <c r="E1" s="1" t="n"/>
    </row>
    <row r="2" ht="27.75" customHeight="1" s="51">
      <c r="A2" s="19" t="inlineStr">
        <is>
          <t>Source</t>
        </is>
      </c>
      <c r="B2" s="19" t="inlineStr">
        <is>
          <t>URL</t>
        </is>
      </c>
      <c r="C2" s="19" t="inlineStr">
        <is>
          <t>Frequency</t>
        </is>
      </c>
      <c r="D2" s="19" t="inlineStr">
        <is>
          <t>Instructions</t>
        </is>
      </c>
      <c r="E2" s="1" t="n"/>
    </row>
    <row r="3" ht="39.75" customHeight="1" s="51">
      <c r="A3" s="20" t="inlineStr">
        <is>
          <t>Orlen PL — Ekodiesel</t>
        </is>
      </c>
      <c r="B3" s="21" t="inlineStr">
        <is>
          <t>https://www.orlen.pl/pl/dla-biznesu/hurtowe-ceny-paliw#paliwa-archive</t>
        </is>
      </c>
      <c r="C3" s="22" t="inlineStr">
        <is>
          <t>Daily</t>
        </is>
      </c>
      <c r="D3" s="23" t="inlineStr">
        <is>
          <t>Hurtowe ceny → Archiwum → Ekodiesel → PLN/m³. Enter in Daily Tracker col C. PLN/EUR from ECB.</t>
        </is>
      </c>
      <c r="E3" s="1" t="n"/>
    </row>
    <row r="4" ht="39.75" customHeight="1" s="51">
      <c r="A4" s="24" t="inlineStr">
        <is>
          <t>Orlen LT — Dyzelinas E</t>
        </is>
      </c>
      <c r="B4" s="25" t="inlineStr">
        <is>
          <t>https://www.orlenlietuva.lt/LT/Wholesale/Puslapiai/Kainu-protokolai.aspx</t>
        </is>
      </c>
      <c r="C4" s="26" t="inlineStr">
        <is>
          <t>Daily</t>
        </is>
      </c>
      <c r="D4" s="27" t="inlineStr">
        <is>
          <t>Kainų protokolai → Juodeikių terminalas → Dyzelinas E kl. su RRME → kaina su akcizu ir PVM → col F.</t>
        </is>
      </c>
      <c r="E4" s="1" t="n"/>
    </row>
    <row r="5" ht="39.75" customHeight="1" s="51">
      <c r="A5" s="20" t="inlineStr">
        <is>
          <t>EU Weekly Oil Bulletin</t>
        </is>
      </c>
      <c r="B5" s="21" t="inlineStr">
        <is>
          <t>https://energy.ec.europa.eu/data-and-analysis/weekly-oil-bulletin_en</t>
        </is>
      </c>
      <c r="C5" s="28" t="inlineStr">
        <is>
          <t>Weekly</t>
        </is>
      </c>
      <c r="D5" s="23" t="inlineStr">
        <is>
          <t>Download 'Prices with taxes' → diesel → LT/LV/EE/DK/SE/FI + EU avg → Weekly Oil Bulletin sheet.</t>
        </is>
      </c>
      <c r="E5" s="1" t="n"/>
    </row>
    <row r="6" ht="39.75" customHeight="1" s="51">
      <c r="A6" s="24" t="inlineStr">
        <is>
          <t>Elvis FSC (DE)</t>
        </is>
      </c>
      <c r="B6" s="25" t="inlineStr">
        <is>
          <t>https://www.mehr-tanken.de/aktuelle-spritpreise/</t>
        </is>
      </c>
      <c r="C6" s="26" t="inlineStr">
        <is>
          <t>Daily</t>
        </is>
      </c>
      <c r="D6" s="27" t="inlineStr">
        <is>
          <t>Aktuelle Spritpreise → Diesel → EUR/l → Daily Tracker col I. No conversion needed.</t>
        </is>
      </c>
      <c r="E6" s="1" t="n"/>
    </row>
    <row r="7" ht="39.75" customHeight="1" s="51">
      <c r="A7" s="20" t="inlineStr">
        <is>
          <t>BSH / ST1 (SE)</t>
        </is>
      </c>
      <c r="B7" s="21" t="inlineStr">
        <is>
          <t>https://st1.se/foretag/listpris</t>
        </is>
      </c>
      <c r="C7" s="28" t="inlineStr">
        <is>
          <t>Weekly</t>
        </is>
      </c>
      <c r="D7" s="23" t="inlineStr">
        <is>
          <t>Företag → Listpris → Diesel SEK/l → col J. SEK/EUR in col K. EUR auto-calc col L.</t>
        </is>
      </c>
      <c r="E7" s="1" t="n"/>
    </row>
    <row r="8" ht="39.75" customHeight="1" s="51">
      <c r="A8" s="24" t="inlineStr">
        <is>
          <t>FX Rates (ECB)</t>
        </is>
      </c>
      <c r="B8" s="25" t="inlineStr">
        <is>
          <t>https://www.ecb.europa.eu/stats/exchange/eurofxref/</t>
        </is>
      </c>
      <c r="C8" s="26" t="inlineStr">
        <is>
          <t>Daily</t>
        </is>
      </c>
      <c r="D8" s="27" t="inlineStr">
        <is>
          <t>PLN/EUR → col D. SEK/EUR → col K. API alternative: frankfurter.app (free, no auth).</t>
        </is>
      </c>
      <c r="E8" s="1" t="n"/>
    </row>
    <row r="9" ht="15" customHeight="1" s="51">
      <c r="A9" s="1" t="n"/>
      <c r="B9" s="1" t="n"/>
      <c r="C9" s="1" t="n"/>
      <c r="D9" s="1" t="n"/>
      <c r="E9" s="1" t="n"/>
    </row>
    <row r="10" ht="15" customHeight="1" s="51">
      <c r="A10" s="1" t="n"/>
      <c r="B10" s="1" t="n"/>
      <c r="C10" s="1" t="n"/>
      <c r="D10" s="1" t="n"/>
      <c r="E10" s="1" t="n"/>
    </row>
    <row r="11" ht="15" customHeight="1" s="51">
      <c r="A11" s="1" t="n"/>
      <c r="B11" s="1" t="n"/>
      <c r="C11" s="1" t="n"/>
      <c r="D11" s="1" t="n"/>
      <c r="E11" s="1" t="n"/>
    </row>
    <row r="12" ht="15" customHeight="1" s="51">
      <c r="A12" s="1" t="n"/>
      <c r="B12" s="1" t="n"/>
      <c r="C12" s="1" t="n"/>
      <c r="D12" s="1" t="n"/>
      <c r="E12" s="1" t="n"/>
    </row>
    <row r="13" ht="15" customHeight="1" s="51">
      <c r="A13" s="1" t="n"/>
      <c r="B13" s="1" t="n"/>
      <c r="C13" s="1" t="n"/>
      <c r="D13" s="1" t="n"/>
      <c r="E13" s="1" t="n"/>
    </row>
    <row r="14" ht="15" customHeight="1" s="51">
      <c r="A14" s="1" t="n"/>
      <c r="B14" s="1" t="n"/>
      <c r="C14" s="1" t="n"/>
      <c r="D14" s="1" t="n"/>
      <c r="E14" s="1" t="n"/>
    </row>
    <row r="15" ht="15" customHeight="1" s="51">
      <c r="A15" s="1" t="n"/>
      <c r="B15" s="1" t="n"/>
      <c r="C15" s="1" t="n"/>
      <c r="D15" s="1" t="n"/>
      <c r="E15" s="1" t="n"/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A855F7"/>
    <outlinePr summaryBelow="1" summaryRight="1"/>
    <pageSetUpPr/>
  </sheetPr>
  <dimension ref="A1:D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51" min="1" max="1"/>
    <col width="70" customWidth="1" style="51" min="2" max="2"/>
    <col width="16" customWidth="1" style="51" min="3" max="3"/>
  </cols>
  <sheetData>
    <row r="1" ht="36" customHeight="1" s="51">
      <c r="A1" s="98" t="inlineStr">
        <is>
          <t>🤖  Automation Strategy</t>
        </is>
      </c>
      <c r="D1" s="1" t="n"/>
    </row>
    <row r="2" ht="27.75" customHeight="1" s="51">
      <c r="A2" s="29" t="inlineStr">
        <is>
          <t>Approach</t>
        </is>
      </c>
      <c r="B2" s="29" t="inlineStr">
        <is>
          <t>Description</t>
        </is>
      </c>
      <c r="C2" s="29" t="inlineStr">
        <is>
          <t>Complexity</t>
        </is>
      </c>
      <c r="D2" s="1" t="n"/>
    </row>
    <row r="3" ht="48" customHeight="1" s="51">
      <c r="A3" s="20" t="inlineStr">
        <is>
          <t>Power Automate (Cloud)</t>
        </is>
      </c>
      <c r="B3" s="23" t="inlineStr">
        <is>
          <t>Scheduled flow → HTTP connector → parse response → write to SharePoint list or Excel via Graph API. Best for stable HTML/CSV sources (EU Oil Bulletin).</t>
        </is>
      </c>
      <c r="C3" s="28" t="inlineStr">
        <is>
          <t>Medium</t>
        </is>
      </c>
      <c r="D3" s="1" t="n"/>
    </row>
    <row r="4" ht="48" customHeight="1" s="51">
      <c r="A4" s="24" t="inlineStr">
        <is>
          <t>Power Automate Desktop</t>
        </is>
      </c>
      <c r="B4" s="27" t="inlineStr">
        <is>
          <t>Browser RPA for sites blocking HTTP scraping (Orlen PL, ST1). Records browser actions → extracts data → writes to Excel/SharePoint.</t>
        </is>
      </c>
      <c r="C4" s="30" t="inlineStr">
        <is>
          <t>Medium-High</t>
        </is>
      </c>
      <c r="D4" s="1" t="n"/>
    </row>
    <row r="5" ht="48" customHeight="1" s="51">
      <c r="A5" s="20" t="inlineStr">
        <is>
          <t>EU Oil Bulletin (CSV)</t>
        </is>
      </c>
      <c r="B5" s="23" t="inlineStr">
        <is>
          <t>Direct XLS/CSV download available. Power Automate HTTP trigger Monday → download → parse → update Weekly sheet.</t>
        </is>
      </c>
      <c r="C5" s="31" t="inlineStr">
        <is>
          <t>Low ✅</t>
        </is>
      </c>
      <c r="D5" s="1" t="n"/>
    </row>
    <row r="6" ht="48" customHeight="1" s="51">
      <c r="A6" s="24" t="inlineStr">
        <is>
          <t>FX Rates (ECB API)</t>
        </is>
      </c>
      <c r="B6" s="27" t="inlineStr">
        <is>
          <t>frankfurter.app — free, no auth. Daily GET request returns PLN/EUR, SEK/EUR as JSON.</t>
        </is>
      </c>
      <c r="C6" s="32" t="inlineStr">
        <is>
          <t>Low ✅</t>
        </is>
      </c>
      <c r="D6" s="1" t="n"/>
    </row>
    <row r="7" ht="48" customHeight="1" s="51">
      <c r="A7" s="20" t="inlineStr">
        <is>
          <t>Manual PDF → Extract</t>
        </is>
      </c>
      <c r="B7" s="23" t="inlineStr">
        <is>
          <t>For PDF-only sources (Orlen LT kainų protokolai): download → AI Builder extracts table → writes to tracker.</t>
        </is>
      </c>
      <c r="C7" s="33" t="inlineStr">
        <is>
          <t>Low-Medium</t>
        </is>
      </c>
      <c r="D7" s="1" t="n"/>
    </row>
    <row r="8" ht="48" customHeight="1" s="51">
      <c r="A8" s="24" t="inlineStr">
        <is>
          <t>SharePoint List Backend</t>
        </is>
      </c>
      <c r="B8" s="27" t="inlineStr">
        <is>
          <t>Store data in SP List columns instead of Excel. PA writes rows. Better for multi-user concurrent editing.</t>
        </is>
      </c>
      <c r="C8" s="34" t="inlineStr">
        <is>
          <t>Medium</t>
        </is>
      </c>
      <c r="D8" s="1" t="n"/>
    </row>
    <row r="9" ht="48" customHeight="1" s="51">
      <c r="A9" s="20" t="inlineStr">
        <is>
          <t>Python + Azure Function</t>
        </is>
      </c>
      <c r="B9" s="23" t="inlineStr">
        <is>
          <t>Most flexible: Python script with requests/selenium → parse → push via Graph API. Timer triggered.</t>
        </is>
      </c>
      <c r="C9" s="35" t="inlineStr">
        <is>
          <t>High</t>
        </is>
      </c>
      <c r="D9" s="1" t="n"/>
    </row>
    <row r="10" ht="15" customHeight="1" s="51">
      <c r="A10" s="1" t="n"/>
      <c r="B10" s="1" t="n"/>
      <c r="C10" s="1" t="n"/>
      <c r="D10" s="1" t="n"/>
    </row>
    <row r="11" ht="27.75" customHeight="1" s="51">
      <c r="A11" s="99" t="inlineStr">
        <is>
          <t>💡  START HERE: EU Oil Bulletin (CSV) + FX Rates API = low effort, high value. Automates weekly EU data + daily exchange rates.</t>
        </is>
      </c>
      <c r="D11" s="1" t="n"/>
    </row>
    <row r="12" ht="15" customHeight="1" s="51">
      <c r="A12" s="1" t="n"/>
      <c r="B12" s="1" t="n"/>
      <c r="C12" s="1" t="n"/>
      <c r="D12" s="1" t="n"/>
    </row>
    <row r="13" ht="15" customHeight="1" s="51">
      <c r="A13" s="1" t="n"/>
      <c r="B13" s="1" t="n"/>
      <c r="C13" s="1" t="n"/>
      <c r="D13" s="1" t="n"/>
    </row>
    <row r="14" ht="15" customHeight="1" s="51">
      <c r="A14" s="1" t="n"/>
      <c r="B14" s="1" t="n"/>
      <c r="C14" s="1" t="n"/>
      <c r="D14" s="1" t="n"/>
    </row>
    <row r="15" ht="15" customHeight="1" s="51">
      <c r="A15" s="1" t="n"/>
      <c r="B15" s="1" t="n"/>
      <c r="C15" s="1" t="n"/>
      <c r="D15" s="1" t="n"/>
    </row>
  </sheetData>
  <mergeCells count="2">
    <mergeCell ref="A1:C1"/>
    <mergeCell ref="A11:C1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2026-03-18T13:52:37Z</dcterms:modified>
  <cp:lastModifiedBy>Domantas Skupeika</cp:lastModifiedBy>
  <cp:revision>1</cp:revision>
</cp:coreProperties>
</file>